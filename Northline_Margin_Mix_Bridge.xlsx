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Volume_Price" sheetId="3" state="visible" r:id="rId3"/>
    <sheet name="03_PVM_Bridge" sheetId="4" state="visible" r:id="rId4"/>
    <sheet name="04_Contribution" sheetId="5" state="visible" r:id="rId5"/>
    <sheet name="05_Dashboard" sheetId="6" state="visible" r:id="rId6"/>
    <sheet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.0_);_($* (#,##0.0);_($* &quot;-&quot;??_);_(@_)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color rgb="00000000"/>
      <sz val="11"/>
    </font>
    <font>
      <name val="Calibri"/>
      <color rgb="000000FF"/>
      <sz val="11"/>
    </font>
    <font>
      <name val="Calibri"/>
      <i val="1"/>
      <color rgb="00666666"/>
      <sz val="10"/>
    </font>
    <font>
      <name val="Calibri"/>
      <color rgb="000563C1"/>
      <sz val="11"/>
      <u val="single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E9EDF4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2" fontId="4" fillId="2" borderId="1" pivotButton="0" quotePrefix="0" xfId="0"/>
    <xf numFmtId="3" fontId="4" fillId="2" borderId="1" pivotButton="0" quotePrefix="0" xfId="0"/>
    <xf numFmtId="3" fontId="9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0" fontId="7" fillId="0" borderId="1" pivotButton="0" quotePrefix="0" xfId="0"/>
    <xf numFmtId="164" fontId="9" fillId="0" borderId="1" pivotButton="0" quotePrefix="0" xfId="0"/>
    <xf numFmtId="165" fontId="3" fillId="0" borderId="1" pivotButton="0" quotePrefix="0" xfId="0"/>
    <xf numFmtId="165" fontId="9" fillId="0" borderId="1" pivotButton="0" quotePrefix="0" xfId="0"/>
    <xf numFmtId="0" fontId="5" fillId="0" borderId="0" applyAlignment="1" pivotButton="0" quotePrefix="0" xfId="0">
      <alignment wrapText="1"/>
    </xf>
    <xf numFmtId="0" fontId="10" fillId="0" borderId="0" pivotButton="0" quotePrefix="0" xfId="0"/>
    <xf numFmtId="0" fontId="7" fillId="4" borderId="1" pivotButton="0" quotePrefix="0" xfId="0"/>
    <xf numFmtId="164" fontId="9" fillId="4" borderId="1" pivotButton="0" quotePrefix="0" xfId="0"/>
    <xf numFmtId="2" fontId="9" fillId="0" borderId="1" pivotButton="0" quotePrefix="0" xfId="0"/>
    <xf numFmtId="0" fontId="5" fillId="0" borderId="1" pivotButton="0" quotePrefix="0" xfId="0"/>
    <xf numFmtId="0" fontId="3" fillId="5" borderId="1" pivotButton="0" quotePrefix="0" xfId="0"/>
    <xf numFmtId="3" fontId="9" fillId="5" borderId="1" pivotButton="0" quotePrefix="0" xfId="0"/>
    <xf numFmtId="164" fontId="9" fillId="5" borderId="1" pivotButton="0" quotePrefix="0" xfId="0"/>
    <xf numFmtId="165" fontId="9" fillId="5" borderId="1" pivotButton="0" quotePrefix="0" xfId="0"/>
    <xf numFmtId="165" fontId="4" fillId="2" borderId="1" pivotButton="0" quotePrefix="0" xfId="0"/>
    <xf numFmtId="0" fontId="9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Margin $ Walk ($000s)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'03_PVM_Bridge'!C78</f>
            </strRef>
          </tx>
          <spPr>
            <a:ln>
              <a:prstDash val="solid"/>
            </a:ln>
          </spPr>
          <cat>
            <numRef>
              <f>'03_PVM_Bridge'!$B$79:$B$84</f>
            </numRef>
          </cat>
          <val>
            <numRef>
              <f>'03_PVM_Bridge'!$C$79:$C$84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GM$ Walk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'05_Dashboard'!F6</f>
            </strRef>
          </tx>
          <spPr>
            <a:ln>
              <a:prstDash val="solid"/>
            </a:ln>
          </spPr>
          <cat>
            <numRef>
              <f>'05_Dashboard'!$E$7:$E$12</f>
            </numRef>
          </cat>
          <val>
            <numRef>
              <f>'05_Dashboard'!$F$7:$F$12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51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78" customWidth="1" min="2" max="2"/>
  </cols>
  <sheetData>
    <row r="2">
      <c r="B2" s="1" t="inlineStr">
        <is>
          <t>Northline Consumer Products</t>
        </is>
      </c>
    </row>
    <row r="3">
      <c r="B3" s="2" t="inlineStr">
        <is>
          <t>Margin &amp; Mix Bridge — SKU × Channel Contribution | Price-Volume-Mix | Gross Margin Walk</t>
        </is>
      </c>
    </row>
    <row r="5">
      <c r="B5" s="2" t="inlineStr">
        <is>
          <t>Purpose</t>
        </is>
      </c>
    </row>
    <row r="6" ht="48" customHeight="1">
      <c r="B6" s="3" t="inlineStr">
        <is>
          <t>Explain how gross margin dollars moved between prior and current period: volume growth, net price, SKU/channel mix, and cost. Built for an FP&amp;A screen-share — change yellow inputs on 01_Assumptions and watch the bridge update.</t>
        </is>
      </c>
    </row>
    <row r="8">
      <c r="B8" s="2" t="inlineStr">
        <is>
          <t>How to read this file</t>
        </is>
      </c>
    </row>
    <row r="9">
      <c r="B9" s="4" t="inlineStr">
        <is>
          <t>1. Yellow fill + blue font = inputs. Black font = formulas. No VBA.</t>
        </is>
      </c>
    </row>
    <row r="10">
      <c r="B10" s="4" t="inlineStr">
        <is>
          <t>2. Start on 01_Assumptions (close period, channel list, SKU economics, prior/current volume &amp; price).</t>
        </is>
      </c>
    </row>
    <row r="11">
      <c r="B11" s="4" t="inlineStr">
        <is>
          <t>3. 02_Volume_Price builds SKU×channel revenue and contribution.</t>
        </is>
      </c>
    </row>
    <row r="12">
      <c r="B12" s="4" t="inlineStr">
        <is>
          <t>4. 03_PVM_Bridge walks Prior GM → Volume → Price → Mix → Cost → Current GM (revenue and GM$).</t>
        </is>
      </c>
    </row>
    <row r="13">
      <c r="B13" s="4" t="inlineStr">
        <is>
          <t>5. 04_Contribution shows margin by SKU and by channel with mix %.</t>
        </is>
      </c>
    </row>
    <row r="14">
      <c r="B14" s="4" t="inlineStr">
        <is>
          <t>6. 05_Dashboard is the one-pager for leadership: GM walk, mix callouts, RAG on margin %.</t>
        </is>
      </c>
    </row>
    <row r="15">
      <c r="B15" s="4" t="inlineStr">
        <is>
          <t>7. Amounts in $000s where labeled; volume in 000 units; prices and COGS in $ per unit.</t>
        </is>
      </c>
    </row>
    <row r="17">
      <c r="B17" s="2" t="inlineStr">
        <is>
          <t>Sample story (embedded numbers)</t>
        </is>
      </c>
    </row>
    <row r="18" ht="60" customHeight="1">
      <c r="B18" s="3" t="inlineStr">
        <is>
          <t>Total volume is up, driven by Club and Multipack Snacks. Club carries a lower net price and thinner contribution per unit, so mix dilutes gross margin even as units grow. Mild Grocery/Mass price pressure adds a negative price step; COGS/unit is flat in this sample so the Cost bridge step is ~0.</t>
        </is>
      </c>
    </row>
    <row r="20">
      <c r="B20" s="2" t="inlineStr">
        <is>
          <t>Color legend</t>
        </is>
      </c>
    </row>
    <row r="21">
      <c r="B21" s="5" t="inlineStr">
        <is>
          <t>Input cell (edit me)</t>
        </is>
      </c>
    </row>
    <row r="22">
      <c r="B22" s="6" t="inlineStr">
        <is>
          <t>Formula / calculated</t>
        </is>
      </c>
    </row>
    <row r="24">
      <c r="B24" s="7" t="inlineStr">
        <is>
          <t>Fictional company and sample data for portfolio demonstration only. Not employer or client data.</t>
        </is>
      </c>
    </row>
    <row r="25">
      <c r="B25" s="8" t="inlineStr">
        <is>
          <t>github.com/saisiri-bandaru</t>
        </is>
      </c>
    </row>
    <row r="26">
      <c r="B26" s="9" t="inlineStr">
        <is>
          <t>Sai Siri Bandaru — Financial Analyst | FP&amp;A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Assumptions &amp; Inputs</t>
        </is>
      </c>
    </row>
    <row r="3">
      <c r="B3" s="7" t="inlineStr">
        <is>
          <t>Yellow / blue = editable inputs. All downstream tabs reference this sheet.</t>
        </is>
      </c>
    </row>
    <row r="5">
      <c r="B5" s="9" t="inlineStr">
        <is>
          <t>Close period</t>
        </is>
      </c>
      <c r="C5" s="5" t="inlineStr">
        <is>
          <t>FY26 Q2 vs FY26 Q1</t>
        </is>
      </c>
    </row>
    <row r="6">
      <c r="B6" s="9" t="inlineStr">
        <is>
          <t>Units</t>
        </is>
      </c>
      <c r="C6" s="5" t="inlineStr">
        <is>
          <t>000 cases / units</t>
        </is>
      </c>
    </row>
    <row r="7">
      <c r="B7" s="9" t="inlineStr">
        <is>
          <t>Currency</t>
        </is>
      </c>
      <c r="C7" s="5" t="inlineStr">
        <is>
          <t>$000s (revenue, GM); $/unit (price, COGS)</t>
        </is>
      </c>
    </row>
    <row r="9">
      <c r="B9" s="2" t="inlineStr">
        <is>
          <t>Channels</t>
        </is>
      </c>
    </row>
    <row r="10">
      <c r="B10" s="10" t="inlineStr">
        <is>
          <t>Channel</t>
        </is>
      </c>
      <c r="C10" s="10" t="inlineStr">
        <is>
          <t>Role in mix story</t>
        </is>
      </c>
    </row>
    <row r="11">
      <c r="B11" s="5" t="inlineStr">
        <is>
          <t>Grocery</t>
        </is>
      </c>
      <c r="C11" s="5" t="inlineStr">
        <is>
          <t>Highest net price; volume soft in current</t>
        </is>
      </c>
    </row>
    <row r="12">
      <c r="B12" s="5" t="inlineStr">
        <is>
          <t>Mass</t>
        </is>
      </c>
      <c r="C12" s="5" t="inlineStr">
        <is>
          <t>Slight discount vs Grocery; mild price pressure</t>
        </is>
      </c>
    </row>
    <row r="13">
      <c r="B13" s="5" t="inlineStr">
        <is>
          <t>Club</t>
        </is>
      </c>
      <c r="C13" s="5" t="inlineStr">
        <is>
          <t>Lowest net $/unit; volume surge dilutes mix</t>
        </is>
      </c>
    </row>
    <row r="14">
      <c r="B14" s="5" t="inlineStr">
        <is>
          <t>E-comm</t>
        </is>
      </c>
      <c r="C14" s="5" t="inlineStr">
        <is>
          <t>Slight premium; growing but smaller base</t>
        </is>
      </c>
    </row>
    <row r="16">
      <c r="B16" s="2" t="inlineStr">
        <is>
          <t>SKU list &amp; standard COGS $/unit</t>
        </is>
      </c>
    </row>
    <row r="17">
      <c r="B17" s="10" t="inlineStr">
        <is>
          <t>SKU</t>
        </is>
      </c>
      <c r="C17" s="10" t="inlineStr">
        <is>
          <t>Std COGS $/unit</t>
        </is>
      </c>
      <c r="D17" s="10" t="inlineStr">
        <is>
          <t>Category note</t>
        </is>
      </c>
    </row>
    <row r="18">
      <c r="B18" s="5" t="inlineStr">
        <is>
          <t>Sparkle Water 12pk</t>
        </is>
      </c>
      <c r="C18" s="11" t="n">
        <v>2.15</v>
      </c>
      <c r="D18" s="5" t="inlineStr">
        <is>
          <t>Sparkling beverage — high velocity</t>
        </is>
      </c>
    </row>
    <row r="19">
      <c r="B19" s="5" t="inlineStr">
        <is>
          <t>Protein Bar 12ct</t>
        </is>
      </c>
      <c r="C19" s="11" t="n">
        <v>4.85</v>
      </c>
      <c r="D19" s="5" t="inlineStr">
        <is>
          <t>Nutrition — mid-high margin</t>
        </is>
      </c>
    </row>
    <row r="20">
      <c r="B20" s="5" t="inlineStr">
        <is>
          <t>Crunch Chips Family</t>
        </is>
      </c>
      <c r="C20" s="11" t="n">
        <v>1.9</v>
      </c>
      <c r="D20" s="5" t="inlineStr">
        <is>
          <t>Salty snacks — volume driver</t>
        </is>
      </c>
    </row>
    <row r="21">
      <c r="B21" s="5" t="inlineStr">
        <is>
          <t>Clean Wipe Refill</t>
        </is>
      </c>
      <c r="C21" s="11" t="n">
        <v>3.35</v>
      </c>
      <c r="D21" s="5" t="inlineStr">
        <is>
          <t>Household — steady</t>
        </is>
      </c>
    </row>
    <row r="22">
      <c r="B22" s="5" t="inlineStr">
        <is>
          <t>SoftSoap 3pk</t>
        </is>
      </c>
      <c r="C22" s="11" t="n">
        <v>2.5</v>
      </c>
      <c r="D22" s="5" t="inlineStr">
        <is>
          <t>Personal care — promotional</t>
        </is>
      </c>
    </row>
    <row r="23">
      <c r="B23" s="5" t="inlineStr">
        <is>
          <t>Multipack Snacks</t>
        </is>
      </c>
      <c r="C23" s="11" t="n">
        <v>5.1</v>
      </c>
      <c r="D23" s="5" t="inlineStr">
        <is>
          <t>Club-oriented pack — thin margin</t>
        </is>
      </c>
    </row>
    <row r="25">
      <c r="B25" s="2" t="inlineStr">
        <is>
          <t>Prior-period volume (000 units) by SKU × channel</t>
        </is>
      </c>
    </row>
    <row r="26">
      <c r="B26" s="10" t="inlineStr">
        <is>
          <t>SKU</t>
        </is>
      </c>
      <c r="C26" s="10" t="inlineStr">
        <is>
          <t>Grocery</t>
        </is>
      </c>
      <c r="D26" s="10" t="inlineStr">
        <is>
          <t>Mass</t>
        </is>
      </c>
      <c r="E26" s="10" t="inlineStr">
        <is>
          <t>Club</t>
        </is>
      </c>
      <c r="F26" s="10" t="inlineStr">
        <is>
          <t>E-comm</t>
        </is>
      </c>
      <c r="G26" s="10" t="inlineStr">
        <is>
          <t>Total</t>
        </is>
      </c>
    </row>
    <row r="27">
      <c r="B27" s="6" t="inlineStr">
        <is>
          <t>Sparkle Water 12pk</t>
        </is>
      </c>
      <c r="C27" s="12" t="n">
        <v>420</v>
      </c>
      <c r="D27" s="12" t="n">
        <v>310</v>
      </c>
      <c r="E27" s="12" t="n">
        <v>180</v>
      </c>
      <c r="F27" s="12" t="n">
        <v>95</v>
      </c>
      <c r="G27" s="13">
        <f>SUM(C27:F27)</f>
        <v/>
      </c>
    </row>
    <row r="28">
      <c r="B28" s="6" t="inlineStr">
        <is>
          <t>Protein Bar 12ct</t>
        </is>
      </c>
      <c r="C28" s="12" t="n">
        <v>210</v>
      </c>
      <c r="D28" s="12" t="n">
        <v>165</v>
      </c>
      <c r="E28" s="12" t="n">
        <v>90</v>
      </c>
      <c r="F28" s="12" t="n">
        <v>70</v>
      </c>
      <c r="G28" s="13">
        <f>SUM(C28:F28)</f>
        <v/>
      </c>
    </row>
    <row r="29">
      <c r="B29" s="6" t="inlineStr">
        <is>
          <t>Crunch Chips Family</t>
        </is>
      </c>
      <c r="C29" s="12" t="n">
        <v>380</v>
      </c>
      <c r="D29" s="12" t="n">
        <v>290</v>
      </c>
      <c r="E29" s="12" t="n">
        <v>220</v>
      </c>
      <c r="F29" s="12" t="n">
        <v>85</v>
      </c>
      <c r="G29" s="13">
        <f>SUM(C29:F29)</f>
        <v/>
      </c>
    </row>
    <row r="30">
      <c r="B30" s="6" t="inlineStr">
        <is>
          <t>Clean Wipe Refill</t>
        </is>
      </c>
      <c r="C30" s="12" t="n">
        <v>145</v>
      </c>
      <c r="D30" s="12" t="n">
        <v>120</v>
      </c>
      <c r="E30" s="12" t="n">
        <v>60</v>
      </c>
      <c r="F30" s="12" t="n">
        <v>55</v>
      </c>
      <c r="G30" s="13">
        <f>SUM(C30:F30)</f>
        <v/>
      </c>
    </row>
    <row r="31">
      <c r="B31" s="6" t="inlineStr">
        <is>
          <t>SoftSoap 3pk</t>
        </is>
      </c>
      <c r="C31" s="12" t="n">
        <v>260</v>
      </c>
      <c r="D31" s="12" t="n">
        <v>240</v>
      </c>
      <c r="E31" s="12" t="n">
        <v>110</v>
      </c>
      <c r="F31" s="12" t="n">
        <v>60</v>
      </c>
      <c r="G31" s="13">
        <f>SUM(C31:F31)</f>
        <v/>
      </c>
    </row>
    <row r="32">
      <c r="B32" s="6" t="inlineStr">
        <is>
          <t>Multipack Snacks</t>
        </is>
      </c>
      <c r="C32" s="12" t="n">
        <v>80</v>
      </c>
      <c r="D32" s="12" t="n">
        <v>70</v>
      </c>
      <c r="E32" s="12" t="n">
        <v>200</v>
      </c>
      <c r="F32" s="12" t="n">
        <v>40</v>
      </c>
      <c r="G32" s="13">
        <f>SUM(C32:F32)</f>
        <v/>
      </c>
    </row>
    <row r="33">
      <c r="B33" s="9" t="inlineStr">
        <is>
          <t>Total</t>
        </is>
      </c>
      <c r="C33" s="13">
        <f>SUM(C27:C32)</f>
        <v/>
      </c>
      <c r="D33" s="13">
        <f>SUM(D27:D32)</f>
        <v/>
      </c>
      <c r="E33" s="13">
        <f>SUM(E27:E32)</f>
        <v/>
      </c>
      <c r="F33" s="13">
        <f>SUM(F27:F32)</f>
        <v/>
      </c>
      <c r="G33" s="13">
        <f>SUM(G27:G32)</f>
        <v/>
      </c>
    </row>
    <row r="35">
      <c r="B35" s="2" t="inlineStr">
        <is>
          <t>Current-period volume (000 units) by SKU × channel</t>
        </is>
      </c>
    </row>
    <row r="36">
      <c r="B36" s="10" t="inlineStr">
        <is>
          <t>SKU</t>
        </is>
      </c>
      <c r="C36" s="10" t="inlineStr">
        <is>
          <t>Grocery</t>
        </is>
      </c>
      <c r="D36" s="10" t="inlineStr">
        <is>
          <t>Mass</t>
        </is>
      </c>
      <c r="E36" s="10" t="inlineStr">
        <is>
          <t>Club</t>
        </is>
      </c>
      <c r="F36" s="10" t="inlineStr">
        <is>
          <t>E-comm</t>
        </is>
      </c>
      <c r="G36" s="10" t="inlineStr">
        <is>
          <t>Total</t>
        </is>
      </c>
    </row>
    <row r="37">
      <c r="B37" s="6" t="inlineStr">
        <is>
          <t>Sparkle Water 12pk</t>
        </is>
      </c>
      <c r="C37" s="12" t="n">
        <v>360</v>
      </c>
      <c r="D37" s="12" t="n">
        <v>280</v>
      </c>
      <c r="E37" s="12" t="n">
        <v>280</v>
      </c>
      <c r="F37" s="12" t="n">
        <v>105</v>
      </c>
      <c r="G37" s="13">
        <f>SUM(C37:F37)</f>
        <v/>
      </c>
    </row>
    <row r="38">
      <c r="B38" s="6" t="inlineStr">
        <is>
          <t>Protein Bar 12ct</t>
        </is>
      </c>
      <c r="C38" s="12" t="n">
        <v>185</v>
      </c>
      <c r="D38" s="12" t="n">
        <v>150</v>
      </c>
      <c r="E38" s="12" t="n">
        <v>150</v>
      </c>
      <c r="F38" s="12" t="n">
        <v>80</v>
      </c>
      <c r="G38" s="13">
        <f>SUM(C38:F38)</f>
        <v/>
      </c>
    </row>
    <row r="39">
      <c r="B39" s="6" t="inlineStr">
        <is>
          <t>Crunch Chips Family</t>
        </is>
      </c>
      <c r="C39" s="12" t="n">
        <v>320</v>
      </c>
      <c r="D39" s="12" t="n">
        <v>250</v>
      </c>
      <c r="E39" s="12" t="n">
        <v>340</v>
      </c>
      <c r="F39" s="12" t="n">
        <v>95</v>
      </c>
      <c r="G39" s="13">
        <f>SUM(C39:F39)</f>
        <v/>
      </c>
    </row>
    <row r="40">
      <c r="B40" s="6" t="inlineStr">
        <is>
          <t>Clean Wipe Refill</t>
        </is>
      </c>
      <c r="C40" s="12" t="n">
        <v>130</v>
      </c>
      <c r="D40" s="12" t="n">
        <v>110</v>
      </c>
      <c r="E40" s="12" t="n">
        <v>95</v>
      </c>
      <c r="F40" s="12" t="n">
        <v>60</v>
      </c>
      <c r="G40" s="13">
        <f>SUM(C40:F40)</f>
        <v/>
      </c>
    </row>
    <row r="41">
      <c r="B41" s="6" t="inlineStr">
        <is>
          <t>SoftSoap 3pk</t>
        </is>
      </c>
      <c r="C41" s="12" t="n">
        <v>220</v>
      </c>
      <c r="D41" s="12" t="n">
        <v>210</v>
      </c>
      <c r="E41" s="12" t="n">
        <v>175</v>
      </c>
      <c r="F41" s="12" t="n">
        <v>65</v>
      </c>
      <c r="G41" s="13">
        <f>SUM(C41:F41)</f>
        <v/>
      </c>
    </row>
    <row r="42">
      <c r="B42" s="6" t="inlineStr">
        <is>
          <t>Multipack Snacks</t>
        </is>
      </c>
      <c r="C42" s="12" t="n">
        <v>60</v>
      </c>
      <c r="D42" s="12" t="n">
        <v>55</v>
      </c>
      <c r="E42" s="12" t="n">
        <v>340</v>
      </c>
      <c r="F42" s="12" t="n">
        <v>45</v>
      </c>
      <c r="G42" s="13">
        <f>SUM(C42:F42)</f>
        <v/>
      </c>
    </row>
    <row r="43">
      <c r="B43" s="9" t="inlineStr">
        <is>
          <t>Total</t>
        </is>
      </c>
      <c r="C43" s="13">
        <f>SUM(C37:C42)</f>
        <v/>
      </c>
      <c r="D43" s="13">
        <f>SUM(D37:D42)</f>
        <v/>
      </c>
      <c r="E43" s="13">
        <f>SUM(E37:E42)</f>
        <v/>
      </c>
      <c r="F43" s="13">
        <f>SUM(F37:F42)</f>
        <v/>
      </c>
      <c r="G43" s="13">
        <f>SUM(G37:G42)</f>
        <v/>
      </c>
    </row>
    <row r="45">
      <c r="B45" s="2" t="inlineStr">
        <is>
          <t>Prior-period net price ($/unit) by SKU × channel</t>
        </is>
      </c>
    </row>
    <row r="46">
      <c r="B46" s="10" t="inlineStr">
        <is>
          <t>SKU</t>
        </is>
      </c>
      <c r="C46" s="10" t="inlineStr">
        <is>
          <t>Grocery</t>
        </is>
      </c>
      <c r="D46" s="10" t="inlineStr">
        <is>
          <t>Mass</t>
        </is>
      </c>
      <c r="E46" s="10" t="inlineStr">
        <is>
          <t>Club</t>
        </is>
      </c>
      <c r="F46" s="10" t="inlineStr">
        <is>
          <t>E-comm</t>
        </is>
      </c>
    </row>
    <row r="47">
      <c r="B47" s="6" t="inlineStr">
        <is>
          <t>Sparkle Water 12pk</t>
        </is>
      </c>
      <c r="C47" s="11" t="n">
        <v>5.49</v>
      </c>
      <c r="D47" s="11" t="n">
        <v>5.29</v>
      </c>
      <c r="E47" s="11" t="n">
        <v>4.49</v>
      </c>
      <c r="F47" s="11" t="n">
        <v>5.69</v>
      </c>
    </row>
    <row r="48">
      <c r="B48" s="6" t="inlineStr">
        <is>
          <t>Protein Bar 12ct</t>
        </is>
      </c>
      <c r="C48" s="11" t="n">
        <v>9.99</v>
      </c>
      <c r="D48" s="11" t="n">
        <v>9.49</v>
      </c>
      <c r="E48" s="11" t="n">
        <v>8.289999999999999</v>
      </c>
      <c r="F48" s="11" t="n">
        <v>10.29</v>
      </c>
    </row>
    <row r="49">
      <c r="B49" s="6" t="inlineStr">
        <is>
          <t>Crunch Chips Family</t>
        </is>
      </c>
      <c r="C49" s="11" t="n">
        <v>4.79</v>
      </c>
      <c r="D49" s="11" t="n">
        <v>4.49</v>
      </c>
      <c r="E49" s="11" t="n">
        <v>3.79</v>
      </c>
      <c r="F49" s="11" t="n">
        <v>4.99</v>
      </c>
    </row>
    <row r="50">
      <c r="B50" s="6" t="inlineStr">
        <is>
          <t>Clean Wipe Refill</t>
        </is>
      </c>
      <c r="C50" s="11" t="n">
        <v>7.49</v>
      </c>
      <c r="D50" s="11" t="n">
        <v>7.19</v>
      </c>
      <c r="E50" s="11" t="n">
        <v>6.29</v>
      </c>
      <c r="F50" s="11" t="n">
        <v>7.79</v>
      </c>
    </row>
    <row r="51">
      <c r="B51" s="6" t="inlineStr">
        <is>
          <t>SoftSoap 3pk</t>
        </is>
      </c>
      <c r="C51" s="11" t="n">
        <v>5.99</v>
      </c>
      <c r="D51" s="11" t="n">
        <v>5.69</v>
      </c>
      <c r="E51" s="11" t="n">
        <v>4.89</v>
      </c>
      <c r="F51" s="11" t="n">
        <v>6.19</v>
      </c>
    </row>
    <row r="52">
      <c r="B52" s="6" t="inlineStr">
        <is>
          <t>Multipack Snacks</t>
        </is>
      </c>
      <c r="C52" s="11" t="n">
        <v>11.99</v>
      </c>
      <c r="D52" s="11" t="n">
        <v>11.49</v>
      </c>
      <c r="E52" s="11" t="n">
        <v>9.49</v>
      </c>
      <c r="F52" s="11" t="n">
        <v>12.49</v>
      </c>
    </row>
    <row r="54">
      <c r="B54" s="2" t="inlineStr">
        <is>
          <t>Current-period net price ($/unit) by SKU × channel</t>
        </is>
      </c>
    </row>
    <row r="55">
      <c r="B55" s="10" t="inlineStr">
        <is>
          <t>SKU</t>
        </is>
      </c>
      <c r="C55" s="10" t="inlineStr">
        <is>
          <t>Grocery</t>
        </is>
      </c>
      <c r="D55" s="10" t="inlineStr">
        <is>
          <t>Mass</t>
        </is>
      </c>
      <c r="E55" s="10" t="inlineStr">
        <is>
          <t>Club</t>
        </is>
      </c>
      <c r="F55" s="10" t="inlineStr">
        <is>
          <t>E-comm</t>
        </is>
      </c>
    </row>
    <row r="56">
      <c r="B56" s="6" t="inlineStr">
        <is>
          <t>Sparkle Water 12pk</t>
        </is>
      </c>
      <c r="C56" s="11" t="n">
        <v>5.19</v>
      </c>
      <c r="D56" s="11" t="n">
        <v>4.99</v>
      </c>
      <c r="E56" s="11" t="n">
        <v>4.35</v>
      </c>
      <c r="F56" s="11" t="n">
        <v>5.59</v>
      </c>
    </row>
    <row r="57">
      <c r="B57" s="6" t="inlineStr">
        <is>
          <t>Protein Bar 12ct</t>
        </is>
      </c>
      <c r="C57" s="11" t="n">
        <v>9.49</v>
      </c>
      <c r="D57" s="11" t="n">
        <v>8.99</v>
      </c>
      <c r="E57" s="11" t="n">
        <v>7.99</v>
      </c>
      <c r="F57" s="11" t="n">
        <v>10.19</v>
      </c>
    </row>
    <row r="58">
      <c r="B58" s="6" t="inlineStr">
        <is>
          <t>Crunch Chips Family</t>
        </is>
      </c>
      <c r="C58" s="11" t="n">
        <v>4.49</v>
      </c>
      <c r="D58" s="11" t="n">
        <v>4.19</v>
      </c>
      <c r="E58" s="11" t="n">
        <v>3.59</v>
      </c>
      <c r="F58" s="11" t="n">
        <v>4.89</v>
      </c>
    </row>
    <row r="59">
      <c r="B59" s="6" t="inlineStr">
        <is>
          <t>Clean Wipe Refill</t>
        </is>
      </c>
      <c r="C59" s="11" t="n">
        <v>7.09</v>
      </c>
      <c r="D59" s="11" t="n">
        <v>6.79</v>
      </c>
      <c r="E59" s="11" t="n">
        <v>6.05</v>
      </c>
      <c r="F59" s="11" t="n">
        <v>7.69</v>
      </c>
    </row>
    <row r="60">
      <c r="B60" s="6" t="inlineStr">
        <is>
          <t>SoftSoap 3pk</t>
        </is>
      </c>
      <c r="C60" s="11" t="n">
        <v>5.59</v>
      </c>
      <c r="D60" s="11" t="n">
        <v>5.29</v>
      </c>
      <c r="E60" s="11" t="n">
        <v>4.69</v>
      </c>
      <c r="F60" s="11" t="n">
        <v>6.09</v>
      </c>
    </row>
    <row r="61">
      <c r="B61" s="6" t="inlineStr">
        <is>
          <t>Multipack Snacks</t>
        </is>
      </c>
      <c r="C61" s="11" t="n">
        <v>11.49</v>
      </c>
      <c r="D61" s="11" t="n">
        <v>10.99</v>
      </c>
      <c r="E61" s="11" t="n">
        <v>9.09</v>
      </c>
      <c r="F61" s="11" t="n">
        <v>12.29</v>
      </c>
    </row>
    <row r="63">
      <c r="B63" s="7" t="inlineStr">
        <is>
          <t>Note: COGS/unit held constant (see Std COGS above) so the Cost step on 03_PVM_Bridge is ~0 in this sample.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50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B2" s="1" t="inlineStr">
        <is>
          <t>Volume, Price &amp; Contribution Build</t>
        </is>
      </c>
      <c r="P2" s="2" t="inlineStr">
        <is>
          <t>KPI anchors (for bridge)</t>
        </is>
      </c>
    </row>
    <row r="3">
      <c r="B3" s="7" t="inlineStr">
        <is>
          <t>SKU×channel detail. Revenue and GM in $000s (= volume 000 × $/unit).</t>
        </is>
      </c>
      <c r="P3" s="6" t="inlineStr">
        <is>
          <t>Rev Prior $000</t>
        </is>
      </c>
      <c r="Q3" s="14">
        <f>J30</f>
        <v/>
      </c>
    </row>
    <row r="4">
      <c r="P4" s="6" t="inlineStr">
        <is>
          <t>Rev Curr $000</t>
        </is>
      </c>
      <c r="Q4" s="14">
        <f>K30</f>
        <v/>
      </c>
    </row>
    <row r="5" ht="32" customHeight="1">
      <c r="B5" s="10" t="inlineStr">
        <is>
          <t>SKU</t>
        </is>
      </c>
      <c r="C5" s="10" t="inlineStr">
        <is>
          <t>Channel</t>
        </is>
      </c>
      <c r="D5" s="10" t="inlineStr">
        <is>
          <t>Vol Prior</t>
        </is>
      </c>
      <c r="E5" s="10" t="inlineStr">
        <is>
          <t>Vol Curr</t>
        </is>
      </c>
      <c r="F5" s="10" t="inlineStr">
        <is>
          <t>Δ Vol</t>
        </is>
      </c>
      <c r="G5" s="10" t="inlineStr">
        <is>
          <t>Price Prior</t>
        </is>
      </c>
      <c r="H5" s="10" t="inlineStr">
        <is>
          <t>Price Curr</t>
        </is>
      </c>
      <c r="I5" s="10" t="inlineStr">
        <is>
          <t>Δ Price</t>
        </is>
      </c>
      <c r="J5" s="10" t="inlineStr">
        <is>
          <t>Rev Prior $000</t>
        </is>
      </c>
      <c r="K5" s="10" t="inlineStr">
        <is>
          <t>Rev Curr $000</t>
        </is>
      </c>
      <c r="L5" s="10" t="inlineStr">
        <is>
          <t>COGS $/u</t>
        </is>
      </c>
      <c r="M5" s="10" t="inlineStr">
        <is>
          <t>GM Prior $000</t>
        </is>
      </c>
      <c r="N5" s="10" t="inlineStr">
        <is>
          <t>GM Curr $000</t>
        </is>
      </c>
      <c r="P5" s="6" t="inlineStr">
        <is>
          <t>GM Prior $000</t>
        </is>
      </c>
      <c r="Q5" s="14">
        <f>M30</f>
        <v/>
      </c>
    </row>
    <row r="6">
      <c r="B6" s="6" t="inlineStr">
        <is>
          <t>Sparkle Water 12pk</t>
        </is>
      </c>
      <c r="C6" s="6" t="inlineStr">
        <is>
          <t>Grocery</t>
        </is>
      </c>
      <c r="D6" s="15">
        <f>'01_Assumptions'!C27</f>
        <v/>
      </c>
      <c r="E6" s="15">
        <f>'01_Assumptions'!C37</f>
        <v/>
      </c>
      <c r="F6" s="15">
        <f>E6-D6</f>
        <v/>
      </c>
      <c r="G6" s="16">
        <f>'01_Assumptions'!C47</f>
        <v/>
      </c>
      <c r="H6" s="16">
        <f>'01_Assumptions'!C56</f>
        <v/>
      </c>
      <c r="I6" s="16">
        <f>H6-G6</f>
        <v/>
      </c>
      <c r="J6" s="14">
        <f>D6*G6</f>
        <v/>
      </c>
      <c r="K6" s="14">
        <f>E6*H6</f>
        <v/>
      </c>
      <c r="L6" s="16">
        <f>'01_Assumptions'!C18</f>
        <v/>
      </c>
      <c r="M6" s="14">
        <f>D6*(G6-L6)</f>
        <v/>
      </c>
      <c r="N6" s="14">
        <f>E6*(H6-L6)</f>
        <v/>
      </c>
      <c r="P6" s="6" t="inlineStr">
        <is>
          <t>GM Curr $000</t>
        </is>
      </c>
      <c r="Q6" s="14">
        <f>N30</f>
        <v/>
      </c>
    </row>
    <row r="7">
      <c r="B7" s="6" t="inlineStr">
        <is>
          <t>Sparkle Water 12pk</t>
        </is>
      </c>
      <c r="C7" s="6" t="inlineStr">
        <is>
          <t>Mass</t>
        </is>
      </c>
      <c r="D7" s="15">
        <f>'01_Assumptions'!D27</f>
        <v/>
      </c>
      <c r="E7" s="15">
        <f>'01_Assumptions'!D37</f>
        <v/>
      </c>
      <c r="F7" s="15">
        <f>E7-D7</f>
        <v/>
      </c>
      <c r="G7" s="16">
        <f>'01_Assumptions'!D47</f>
        <v/>
      </c>
      <c r="H7" s="16">
        <f>'01_Assumptions'!D56</f>
        <v/>
      </c>
      <c r="I7" s="16">
        <f>H7-G7</f>
        <v/>
      </c>
      <c r="J7" s="14">
        <f>D7*G7</f>
        <v/>
      </c>
      <c r="K7" s="14">
        <f>E7*H7</f>
        <v/>
      </c>
      <c r="L7" s="16">
        <f>'01_Assumptions'!C18</f>
        <v/>
      </c>
      <c r="M7" s="14">
        <f>D7*(G7-L7)</f>
        <v/>
      </c>
      <c r="N7" s="14">
        <f>E7*(H7-L7)</f>
        <v/>
      </c>
      <c r="P7" s="6" t="inlineStr">
        <is>
          <t>Vol Prior 000</t>
        </is>
      </c>
      <c r="Q7" s="15">
        <f>D30</f>
        <v/>
      </c>
    </row>
    <row r="8">
      <c r="B8" s="6" t="inlineStr">
        <is>
          <t>Sparkle Water 12pk</t>
        </is>
      </c>
      <c r="C8" s="6" t="inlineStr">
        <is>
          <t>Club</t>
        </is>
      </c>
      <c r="D8" s="15">
        <f>'01_Assumptions'!E27</f>
        <v/>
      </c>
      <c r="E8" s="15">
        <f>'01_Assumptions'!E37</f>
        <v/>
      </c>
      <c r="F8" s="15">
        <f>E8-D8</f>
        <v/>
      </c>
      <c r="G8" s="16">
        <f>'01_Assumptions'!E47</f>
        <v/>
      </c>
      <c r="H8" s="16">
        <f>'01_Assumptions'!E56</f>
        <v/>
      </c>
      <c r="I8" s="16">
        <f>H8-G8</f>
        <v/>
      </c>
      <c r="J8" s="14">
        <f>D8*G8</f>
        <v/>
      </c>
      <c r="K8" s="14">
        <f>E8*H8</f>
        <v/>
      </c>
      <c r="L8" s="16">
        <f>'01_Assumptions'!C18</f>
        <v/>
      </c>
      <c r="M8" s="14">
        <f>D8*(G8-L8)</f>
        <v/>
      </c>
      <c r="N8" s="14">
        <f>E8*(H8-L8)</f>
        <v/>
      </c>
      <c r="P8" s="6" t="inlineStr">
        <is>
          <t>Vol Curr 000</t>
        </is>
      </c>
      <c r="Q8" s="15">
        <f>E30</f>
        <v/>
      </c>
    </row>
    <row r="9">
      <c r="B9" s="6" t="inlineStr">
        <is>
          <t>Sparkle Water 12pk</t>
        </is>
      </c>
      <c r="C9" s="6" t="inlineStr">
        <is>
          <t>E-comm</t>
        </is>
      </c>
      <c r="D9" s="15">
        <f>'01_Assumptions'!F27</f>
        <v/>
      </c>
      <c r="E9" s="15">
        <f>'01_Assumptions'!F37</f>
        <v/>
      </c>
      <c r="F9" s="15">
        <f>E9-D9</f>
        <v/>
      </c>
      <c r="G9" s="16">
        <f>'01_Assumptions'!F47</f>
        <v/>
      </c>
      <c r="H9" s="16">
        <f>'01_Assumptions'!F56</f>
        <v/>
      </c>
      <c r="I9" s="16">
        <f>H9-G9</f>
        <v/>
      </c>
      <c r="J9" s="14">
        <f>D9*G9</f>
        <v/>
      </c>
      <c r="K9" s="14">
        <f>E9*H9</f>
        <v/>
      </c>
      <c r="L9" s="16">
        <f>'01_Assumptions'!C18</f>
        <v/>
      </c>
      <c r="M9" s="14">
        <f>D9*(G9-L9)</f>
        <v/>
      </c>
      <c r="N9" s="14">
        <f>E9*(H9-L9)</f>
        <v/>
      </c>
    </row>
    <row r="10">
      <c r="B10" s="6" t="inlineStr">
        <is>
          <t>Protein Bar 12ct</t>
        </is>
      </c>
      <c r="C10" s="6" t="inlineStr">
        <is>
          <t>Grocery</t>
        </is>
      </c>
      <c r="D10" s="15">
        <f>'01_Assumptions'!C28</f>
        <v/>
      </c>
      <c r="E10" s="15">
        <f>'01_Assumptions'!C38</f>
        <v/>
      </c>
      <c r="F10" s="15">
        <f>E10-D10</f>
        <v/>
      </c>
      <c r="G10" s="16">
        <f>'01_Assumptions'!C48</f>
        <v/>
      </c>
      <c r="H10" s="16">
        <f>'01_Assumptions'!C57</f>
        <v/>
      </c>
      <c r="I10" s="16">
        <f>H10-G10</f>
        <v/>
      </c>
      <c r="J10" s="14">
        <f>D10*G10</f>
        <v/>
      </c>
      <c r="K10" s="14">
        <f>E10*H10</f>
        <v/>
      </c>
      <c r="L10" s="16">
        <f>'01_Assumptions'!C19</f>
        <v/>
      </c>
      <c r="M10" s="14">
        <f>D10*(G10-L10)</f>
        <v/>
      </c>
      <c r="N10" s="14">
        <f>E10*(H10-L10)</f>
        <v/>
      </c>
    </row>
    <row r="11">
      <c r="B11" s="6" t="inlineStr">
        <is>
          <t>Protein Bar 12ct</t>
        </is>
      </c>
      <c r="C11" s="6" t="inlineStr">
        <is>
          <t>Mass</t>
        </is>
      </c>
      <c r="D11" s="15">
        <f>'01_Assumptions'!D28</f>
        <v/>
      </c>
      <c r="E11" s="15">
        <f>'01_Assumptions'!D38</f>
        <v/>
      </c>
      <c r="F11" s="15">
        <f>E11-D11</f>
        <v/>
      </c>
      <c r="G11" s="16">
        <f>'01_Assumptions'!D48</f>
        <v/>
      </c>
      <c r="H11" s="16">
        <f>'01_Assumptions'!D57</f>
        <v/>
      </c>
      <c r="I11" s="16">
        <f>H11-G11</f>
        <v/>
      </c>
      <c r="J11" s="14">
        <f>D11*G11</f>
        <v/>
      </c>
      <c r="K11" s="14">
        <f>E11*H11</f>
        <v/>
      </c>
      <c r="L11" s="16">
        <f>'01_Assumptions'!C19</f>
        <v/>
      </c>
      <c r="M11" s="14">
        <f>D11*(G11-L11)</f>
        <v/>
      </c>
      <c r="N11" s="14">
        <f>E11*(H11-L11)</f>
        <v/>
      </c>
    </row>
    <row r="12">
      <c r="B12" s="6" t="inlineStr">
        <is>
          <t>Protein Bar 12ct</t>
        </is>
      </c>
      <c r="C12" s="6" t="inlineStr">
        <is>
          <t>Club</t>
        </is>
      </c>
      <c r="D12" s="15">
        <f>'01_Assumptions'!E28</f>
        <v/>
      </c>
      <c r="E12" s="15">
        <f>'01_Assumptions'!E38</f>
        <v/>
      </c>
      <c r="F12" s="15">
        <f>E12-D12</f>
        <v/>
      </c>
      <c r="G12" s="16">
        <f>'01_Assumptions'!E48</f>
        <v/>
      </c>
      <c r="H12" s="16">
        <f>'01_Assumptions'!E57</f>
        <v/>
      </c>
      <c r="I12" s="16">
        <f>H12-G12</f>
        <v/>
      </c>
      <c r="J12" s="14">
        <f>D12*G12</f>
        <v/>
      </c>
      <c r="K12" s="14">
        <f>E12*H12</f>
        <v/>
      </c>
      <c r="L12" s="16">
        <f>'01_Assumptions'!C19</f>
        <v/>
      </c>
      <c r="M12" s="14">
        <f>D12*(G12-L12)</f>
        <v/>
      </c>
      <c r="N12" s="14">
        <f>E12*(H12-L12)</f>
        <v/>
      </c>
    </row>
    <row r="13">
      <c r="B13" s="6" t="inlineStr">
        <is>
          <t>Protein Bar 12ct</t>
        </is>
      </c>
      <c r="C13" s="6" t="inlineStr">
        <is>
          <t>E-comm</t>
        </is>
      </c>
      <c r="D13" s="15">
        <f>'01_Assumptions'!F28</f>
        <v/>
      </c>
      <c r="E13" s="15">
        <f>'01_Assumptions'!F38</f>
        <v/>
      </c>
      <c r="F13" s="15">
        <f>E13-D13</f>
        <v/>
      </c>
      <c r="G13" s="16">
        <f>'01_Assumptions'!F48</f>
        <v/>
      </c>
      <c r="H13" s="16">
        <f>'01_Assumptions'!F57</f>
        <v/>
      </c>
      <c r="I13" s="16">
        <f>H13-G13</f>
        <v/>
      </c>
      <c r="J13" s="14">
        <f>D13*G13</f>
        <v/>
      </c>
      <c r="K13" s="14">
        <f>E13*H13</f>
        <v/>
      </c>
      <c r="L13" s="16">
        <f>'01_Assumptions'!C19</f>
        <v/>
      </c>
      <c r="M13" s="14">
        <f>D13*(G13-L13)</f>
        <v/>
      </c>
      <c r="N13" s="14">
        <f>E13*(H13-L13)</f>
        <v/>
      </c>
    </row>
    <row r="14">
      <c r="B14" s="6" t="inlineStr">
        <is>
          <t>Crunch Chips Family</t>
        </is>
      </c>
      <c r="C14" s="6" t="inlineStr">
        <is>
          <t>Grocery</t>
        </is>
      </c>
      <c r="D14" s="15">
        <f>'01_Assumptions'!C29</f>
        <v/>
      </c>
      <c r="E14" s="15">
        <f>'01_Assumptions'!C39</f>
        <v/>
      </c>
      <c r="F14" s="15">
        <f>E14-D14</f>
        <v/>
      </c>
      <c r="G14" s="16">
        <f>'01_Assumptions'!C49</f>
        <v/>
      </c>
      <c r="H14" s="16">
        <f>'01_Assumptions'!C58</f>
        <v/>
      </c>
      <c r="I14" s="16">
        <f>H14-G14</f>
        <v/>
      </c>
      <c r="J14" s="14">
        <f>D14*G14</f>
        <v/>
      </c>
      <c r="K14" s="14">
        <f>E14*H14</f>
        <v/>
      </c>
      <c r="L14" s="16">
        <f>'01_Assumptions'!C20</f>
        <v/>
      </c>
      <c r="M14" s="14">
        <f>D14*(G14-L14)</f>
        <v/>
      </c>
      <c r="N14" s="14">
        <f>E14*(H14-L14)</f>
        <v/>
      </c>
    </row>
    <row r="15">
      <c r="B15" s="6" t="inlineStr">
        <is>
          <t>Crunch Chips Family</t>
        </is>
      </c>
      <c r="C15" s="6" t="inlineStr">
        <is>
          <t>Mass</t>
        </is>
      </c>
      <c r="D15" s="15">
        <f>'01_Assumptions'!D29</f>
        <v/>
      </c>
      <c r="E15" s="15">
        <f>'01_Assumptions'!D39</f>
        <v/>
      </c>
      <c r="F15" s="15">
        <f>E15-D15</f>
        <v/>
      </c>
      <c r="G15" s="16">
        <f>'01_Assumptions'!D49</f>
        <v/>
      </c>
      <c r="H15" s="16">
        <f>'01_Assumptions'!D58</f>
        <v/>
      </c>
      <c r="I15" s="16">
        <f>H15-G15</f>
        <v/>
      </c>
      <c r="J15" s="14">
        <f>D15*G15</f>
        <v/>
      </c>
      <c r="K15" s="14">
        <f>E15*H15</f>
        <v/>
      </c>
      <c r="L15" s="16">
        <f>'01_Assumptions'!C20</f>
        <v/>
      </c>
      <c r="M15" s="14">
        <f>D15*(G15-L15)</f>
        <v/>
      </c>
      <c r="N15" s="14">
        <f>E15*(H15-L15)</f>
        <v/>
      </c>
    </row>
    <row r="16">
      <c r="B16" s="6" t="inlineStr">
        <is>
          <t>Crunch Chips Family</t>
        </is>
      </c>
      <c r="C16" s="6" t="inlineStr">
        <is>
          <t>Club</t>
        </is>
      </c>
      <c r="D16" s="15">
        <f>'01_Assumptions'!E29</f>
        <v/>
      </c>
      <c r="E16" s="15">
        <f>'01_Assumptions'!E39</f>
        <v/>
      </c>
      <c r="F16" s="15">
        <f>E16-D16</f>
        <v/>
      </c>
      <c r="G16" s="16">
        <f>'01_Assumptions'!E49</f>
        <v/>
      </c>
      <c r="H16" s="16">
        <f>'01_Assumptions'!E58</f>
        <v/>
      </c>
      <c r="I16" s="16">
        <f>H16-G16</f>
        <v/>
      </c>
      <c r="J16" s="14">
        <f>D16*G16</f>
        <v/>
      </c>
      <c r="K16" s="14">
        <f>E16*H16</f>
        <v/>
      </c>
      <c r="L16" s="16">
        <f>'01_Assumptions'!C20</f>
        <v/>
      </c>
      <c r="M16" s="14">
        <f>D16*(G16-L16)</f>
        <v/>
      </c>
      <c r="N16" s="14">
        <f>E16*(H16-L16)</f>
        <v/>
      </c>
    </row>
    <row r="17">
      <c r="B17" s="6" t="inlineStr">
        <is>
          <t>Crunch Chips Family</t>
        </is>
      </c>
      <c r="C17" s="6" t="inlineStr">
        <is>
          <t>E-comm</t>
        </is>
      </c>
      <c r="D17" s="15">
        <f>'01_Assumptions'!F29</f>
        <v/>
      </c>
      <c r="E17" s="15">
        <f>'01_Assumptions'!F39</f>
        <v/>
      </c>
      <c r="F17" s="15">
        <f>E17-D17</f>
        <v/>
      </c>
      <c r="G17" s="16">
        <f>'01_Assumptions'!F49</f>
        <v/>
      </c>
      <c r="H17" s="16">
        <f>'01_Assumptions'!F58</f>
        <v/>
      </c>
      <c r="I17" s="16">
        <f>H17-G17</f>
        <v/>
      </c>
      <c r="J17" s="14">
        <f>D17*G17</f>
        <v/>
      </c>
      <c r="K17" s="14">
        <f>E17*H17</f>
        <v/>
      </c>
      <c r="L17" s="16">
        <f>'01_Assumptions'!C20</f>
        <v/>
      </c>
      <c r="M17" s="14">
        <f>D17*(G17-L17)</f>
        <v/>
      </c>
      <c r="N17" s="14">
        <f>E17*(H17-L17)</f>
        <v/>
      </c>
    </row>
    <row r="18">
      <c r="B18" s="6" t="inlineStr">
        <is>
          <t>Clean Wipe Refill</t>
        </is>
      </c>
      <c r="C18" s="6" t="inlineStr">
        <is>
          <t>Grocery</t>
        </is>
      </c>
      <c r="D18" s="15">
        <f>'01_Assumptions'!C30</f>
        <v/>
      </c>
      <c r="E18" s="15">
        <f>'01_Assumptions'!C40</f>
        <v/>
      </c>
      <c r="F18" s="15">
        <f>E18-D18</f>
        <v/>
      </c>
      <c r="G18" s="16">
        <f>'01_Assumptions'!C50</f>
        <v/>
      </c>
      <c r="H18" s="16">
        <f>'01_Assumptions'!C59</f>
        <v/>
      </c>
      <c r="I18" s="16">
        <f>H18-G18</f>
        <v/>
      </c>
      <c r="J18" s="14">
        <f>D18*G18</f>
        <v/>
      </c>
      <c r="K18" s="14">
        <f>E18*H18</f>
        <v/>
      </c>
      <c r="L18" s="16">
        <f>'01_Assumptions'!C21</f>
        <v/>
      </c>
      <c r="M18" s="14">
        <f>D18*(G18-L18)</f>
        <v/>
      </c>
      <c r="N18" s="14">
        <f>E18*(H18-L18)</f>
        <v/>
      </c>
    </row>
    <row r="19">
      <c r="B19" s="6" t="inlineStr">
        <is>
          <t>Clean Wipe Refill</t>
        </is>
      </c>
      <c r="C19" s="6" t="inlineStr">
        <is>
          <t>Mass</t>
        </is>
      </c>
      <c r="D19" s="15">
        <f>'01_Assumptions'!D30</f>
        <v/>
      </c>
      <c r="E19" s="15">
        <f>'01_Assumptions'!D40</f>
        <v/>
      </c>
      <c r="F19" s="15">
        <f>E19-D19</f>
        <v/>
      </c>
      <c r="G19" s="16">
        <f>'01_Assumptions'!D50</f>
        <v/>
      </c>
      <c r="H19" s="16">
        <f>'01_Assumptions'!D59</f>
        <v/>
      </c>
      <c r="I19" s="16">
        <f>H19-G19</f>
        <v/>
      </c>
      <c r="J19" s="14">
        <f>D19*G19</f>
        <v/>
      </c>
      <c r="K19" s="14">
        <f>E19*H19</f>
        <v/>
      </c>
      <c r="L19" s="16">
        <f>'01_Assumptions'!C21</f>
        <v/>
      </c>
      <c r="M19" s="14">
        <f>D19*(G19-L19)</f>
        <v/>
      </c>
      <c r="N19" s="14">
        <f>E19*(H19-L19)</f>
        <v/>
      </c>
    </row>
    <row r="20">
      <c r="B20" s="6" t="inlineStr">
        <is>
          <t>Clean Wipe Refill</t>
        </is>
      </c>
      <c r="C20" s="6" t="inlineStr">
        <is>
          <t>Club</t>
        </is>
      </c>
      <c r="D20" s="15">
        <f>'01_Assumptions'!E30</f>
        <v/>
      </c>
      <c r="E20" s="15">
        <f>'01_Assumptions'!E40</f>
        <v/>
      </c>
      <c r="F20" s="15">
        <f>E20-D20</f>
        <v/>
      </c>
      <c r="G20" s="16">
        <f>'01_Assumptions'!E50</f>
        <v/>
      </c>
      <c r="H20" s="16">
        <f>'01_Assumptions'!E59</f>
        <v/>
      </c>
      <c r="I20" s="16">
        <f>H20-G20</f>
        <v/>
      </c>
      <c r="J20" s="14">
        <f>D20*G20</f>
        <v/>
      </c>
      <c r="K20" s="14">
        <f>E20*H20</f>
        <v/>
      </c>
      <c r="L20" s="16">
        <f>'01_Assumptions'!C21</f>
        <v/>
      </c>
      <c r="M20" s="14">
        <f>D20*(G20-L20)</f>
        <v/>
      </c>
      <c r="N20" s="14">
        <f>E20*(H20-L20)</f>
        <v/>
      </c>
    </row>
    <row r="21">
      <c r="B21" s="6" t="inlineStr">
        <is>
          <t>Clean Wipe Refill</t>
        </is>
      </c>
      <c r="C21" s="6" t="inlineStr">
        <is>
          <t>E-comm</t>
        </is>
      </c>
      <c r="D21" s="15">
        <f>'01_Assumptions'!F30</f>
        <v/>
      </c>
      <c r="E21" s="15">
        <f>'01_Assumptions'!F40</f>
        <v/>
      </c>
      <c r="F21" s="15">
        <f>E21-D21</f>
        <v/>
      </c>
      <c r="G21" s="16">
        <f>'01_Assumptions'!F50</f>
        <v/>
      </c>
      <c r="H21" s="16">
        <f>'01_Assumptions'!F59</f>
        <v/>
      </c>
      <c r="I21" s="16">
        <f>H21-G21</f>
        <v/>
      </c>
      <c r="J21" s="14">
        <f>D21*G21</f>
        <v/>
      </c>
      <c r="K21" s="14">
        <f>E21*H21</f>
        <v/>
      </c>
      <c r="L21" s="16">
        <f>'01_Assumptions'!C21</f>
        <v/>
      </c>
      <c r="M21" s="14">
        <f>D21*(G21-L21)</f>
        <v/>
      </c>
      <c r="N21" s="14">
        <f>E21*(H21-L21)</f>
        <v/>
      </c>
    </row>
    <row r="22">
      <c r="B22" s="6" t="inlineStr">
        <is>
          <t>SoftSoap 3pk</t>
        </is>
      </c>
      <c r="C22" s="6" t="inlineStr">
        <is>
          <t>Grocery</t>
        </is>
      </c>
      <c r="D22" s="15">
        <f>'01_Assumptions'!C31</f>
        <v/>
      </c>
      <c r="E22" s="15">
        <f>'01_Assumptions'!C41</f>
        <v/>
      </c>
      <c r="F22" s="15">
        <f>E22-D22</f>
        <v/>
      </c>
      <c r="G22" s="16">
        <f>'01_Assumptions'!C51</f>
        <v/>
      </c>
      <c r="H22" s="16">
        <f>'01_Assumptions'!C60</f>
        <v/>
      </c>
      <c r="I22" s="16">
        <f>H22-G22</f>
        <v/>
      </c>
      <c r="J22" s="14">
        <f>D22*G22</f>
        <v/>
      </c>
      <c r="K22" s="14">
        <f>E22*H22</f>
        <v/>
      </c>
      <c r="L22" s="16">
        <f>'01_Assumptions'!C22</f>
        <v/>
      </c>
      <c r="M22" s="14">
        <f>D22*(G22-L22)</f>
        <v/>
      </c>
      <c r="N22" s="14">
        <f>E22*(H22-L22)</f>
        <v/>
      </c>
    </row>
    <row r="23">
      <c r="B23" s="6" t="inlineStr">
        <is>
          <t>SoftSoap 3pk</t>
        </is>
      </c>
      <c r="C23" s="6" t="inlineStr">
        <is>
          <t>Mass</t>
        </is>
      </c>
      <c r="D23" s="15">
        <f>'01_Assumptions'!D31</f>
        <v/>
      </c>
      <c r="E23" s="15">
        <f>'01_Assumptions'!D41</f>
        <v/>
      </c>
      <c r="F23" s="15">
        <f>E23-D23</f>
        <v/>
      </c>
      <c r="G23" s="16">
        <f>'01_Assumptions'!D51</f>
        <v/>
      </c>
      <c r="H23" s="16">
        <f>'01_Assumptions'!D60</f>
        <v/>
      </c>
      <c r="I23" s="16">
        <f>H23-G23</f>
        <v/>
      </c>
      <c r="J23" s="14">
        <f>D23*G23</f>
        <v/>
      </c>
      <c r="K23" s="14">
        <f>E23*H23</f>
        <v/>
      </c>
      <c r="L23" s="16">
        <f>'01_Assumptions'!C22</f>
        <v/>
      </c>
      <c r="M23" s="14">
        <f>D23*(G23-L23)</f>
        <v/>
      </c>
      <c r="N23" s="14">
        <f>E23*(H23-L23)</f>
        <v/>
      </c>
    </row>
    <row r="24">
      <c r="B24" s="6" t="inlineStr">
        <is>
          <t>SoftSoap 3pk</t>
        </is>
      </c>
      <c r="C24" s="6" t="inlineStr">
        <is>
          <t>Club</t>
        </is>
      </c>
      <c r="D24" s="15">
        <f>'01_Assumptions'!E31</f>
        <v/>
      </c>
      <c r="E24" s="15">
        <f>'01_Assumptions'!E41</f>
        <v/>
      </c>
      <c r="F24" s="15">
        <f>E24-D24</f>
        <v/>
      </c>
      <c r="G24" s="16">
        <f>'01_Assumptions'!E51</f>
        <v/>
      </c>
      <c r="H24" s="16">
        <f>'01_Assumptions'!E60</f>
        <v/>
      </c>
      <c r="I24" s="16">
        <f>H24-G24</f>
        <v/>
      </c>
      <c r="J24" s="14">
        <f>D24*G24</f>
        <v/>
      </c>
      <c r="K24" s="14">
        <f>E24*H24</f>
        <v/>
      </c>
      <c r="L24" s="16">
        <f>'01_Assumptions'!C22</f>
        <v/>
      </c>
      <c r="M24" s="14">
        <f>D24*(G24-L24)</f>
        <v/>
      </c>
      <c r="N24" s="14">
        <f>E24*(H24-L24)</f>
        <v/>
      </c>
    </row>
    <row r="25">
      <c r="B25" s="6" t="inlineStr">
        <is>
          <t>SoftSoap 3pk</t>
        </is>
      </c>
      <c r="C25" s="6" t="inlineStr">
        <is>
          <t>E-comm</t>
        </is>
      </c>
      <c r="D25" s="15">
        <f>'01_Assumptions'!F31</f>
        <v/>
      </c>
      <c r="E25" s="15">
        <f>'01_Assumptions'!F41</f>
        <v/>
      </c>
      <c r="F25" s="15">
        <f>E25-D25</f>
        <v/>
      </c>
      <c r="G25" s="16">
        <f>'01_Assumptions'!F51</f>
        <v/>
      </c>
      <c r="H25" s="16">
        <f>'01_Assumptions'!F60</f>
        <v/>
      </c>
      <c r="I25" s="16">
        <f>H25-G25</f>
        <v/>
      </c>
      <c r="J25" s="14">
        <f>D25*G25</f>
        <v/>
      </c>
      <c r="K25" s="14">
        <f>E25*H25</f>
        <v/>
      </c>
      <c r="L25" s="16">
        <f>'01_Assumptions'!C22</f>
        <v/>
      </c>
      <c r="M25" s="14">
        <f>D25*(G25-L25)</f>
        <v/>
      </c>
      <c r="N25" s="14">
        <f>E25*(H25-L25)</f>
        <v/>
      </c>
    </row>
    <row r="26">
      <c r="B26" s="6" t="inlineStr">
        <is>
          <t>Multipack Snacks</t>
        </is>
      </c>
      <c r="C26" s="6" t="inlineStr">
        <is>
          <t>Grocery</t>
        </is>
      </c>
      <c r="D26" s="15">
        <f>'01_Assumptions'!C32</f>
        <v/>
      </c>
      <c r="E26" s="15">
        <f>'01_Assumptions'!C42</f>
        <v/>
      </c>
      <c r="F26" s="15">
        <f>E26-D26</f>
        <v/>
      </c>
      <c r="G26" s="16">
        <f>'01_Assumptions'!C52</f>
        <v/>
      </c>
      <c r="H26" s="16">
        <f>'01_Assumptions'!C61</f>
        <v/>
      </c>
      <c r="I26" s="16">
        <f>H26-G26</f>
        <v/>
      </c>
      <c r="J26" s="14">
        <f>D26*G26</f>
        <v/>
      </c>
      <c r="K26" s="14">
        <f>E26*H26</f>
        <v/>
      </c>
      <c r="L26" s="16">
        <f>'01_Assumptions'!C23</f>
        <v/>
      </c>
      <c r="M26" s="14">
        <f>D26*(G26-L26)</f>
        <v/>
      </c>
      <c r="N26" s="14">
        <f>E26*(H26-L26)</f>
        <v/>
      </c>
    </row>
    <row r="27">
      <c r="B27" s="6" t="inlineStr">
        <is>
          <t>Multipack Snacks</t>
        </is>
      </c>
      <c r="C27" s="6" t="inlineStr">
        <is>
          <t>Mass</t>
        </is>
      </c>
      <c r="D27" s="15">
        <f>'01_Assumptions'!D32</f>
        <v/>
      </c>
      <c r="E27" s="15">
        <f>'01_Assumptions'!D42</f>
        <v/>
      </c>
      <c r="F27" s="15">
        <f>E27-D27</f>
        <v/>
      </c>
      <c r="G27" s="16">
        <f>'01_Assumptions'!D52</f>
        <v/>
      </c>
      <c r="H27" s="16">
        <f>'01_Assumptions'!D61</f>
        <v/>
      </c>
      <c r="I27" s="16">
        <f>H27-G27</f>
        <v/>
      </c>
      <c r="J27" s="14">
        <f>D27*G27</f>
        <v/>
      </c>
      <c r="K27" s="14">
        <f>E27*H27</f>
        <v/>
      </c>
      <c r="L27" s="16">
        <f>'01_Assumptions'!C23</f>
        <v/>
      </c>
      <c r="M27" s="14">
        <f>D27*(G27-L27)</f>
        <v/>
      </c>
      <c r="N27" s="14">
        <f>E27*(H27-L27)</f>
        <v/>
      </c>
    </row>
    <row r="28">
      <c r="B28" s="6" t="inlineStr">
        <is>
          <t>Multipack Snacks</t>
        </is>
      </c>
      <c r="C28" s="6" t="inlineStr">
        <is>
          <t>Club</t>
        </is>
      </c>
      <c r="D28" s="15">
        <f>'01_Assumptions'!E32</f>
        <v/>
      </c>
      <c r="E28" s="15">
        <f>'01_Assumptions'!E42</f>
        <v/>
      </c>
      <c r="F28" s="15">
        <f>E28-D28</f>
        <v/>
      </c>
      <c r="G28" s="16">
        <f>'01_Assumptions'!E52</f>
        <v/>
      </c>
      <c r="H28" s="16">
        <f>'01_Assumptions'!E61</f>
        <v/>
      </c>
      <c r="I28" s="16">
        <f>H28-G28</f>
        <v/>
      </c>
      <c r="J28" s="14">
        <f>D28*G28</f>
        <v/>
      </c>
      <c r="K28" s="14">
        <f>E28*H28</f>
        <v/>
      </c>
      <c r="L28" s="16">
        <f>'01_Assumptions'!C23</f>
        <v/>
      </c>
      <c r="M28" s="14">
        <f>D28*(G28-L28)</f>
        <v/>
      </c>
      <c r="N28" s="14">
        <f>E28*(H28-L28)</f>
        <v/>
      </c>
    </row>
    <row r="29">
      <c r="B29" s="6" t="inlineStr">
        <is>
          <t>Multipack Snacks</t>
        </is>
      </c>
      <c r="C29" s="6" t="inlineStr">
        <is>
          <t>E-comm</t>
        </is>
      </c>
      <c r="D29" s="15">
        <f>'01_Assumptions'!F32</f>
        <v/>
      </c>
      <c r="E29" s="15">
        <f>'01_Assumptions'!F42</f>
        <v/>
      </c>
      <c r="F29" s="15">
        <f>E29-D29</f>
        <v/>
      </c>
      <c r="G29" s="16">
        <f>'01_Assumptions'!F52</f>
        <v/>
      </c>
      <c r="H29" s="16">
        <f>'01_Assumptions'!F61</f>
        <v/>
      </c>
      <c r="I29" s="16">
        <f>H29-G29</f>
        <v/>
      </c>
      <c r="J29" s="14">
        <f>D29*G29</f>
        <v/>
      </c>
      <c r="K29" s="14">
        <f>E29*H29</f>
        <v/>
      </c>
      <c r="L29" s="16">
        <f>'01_Assumptions'!C23</f>
        <v/>
      </c>
      <c r="M29" s="14">
        <f>D29*(G29-L29)</f>
        <v/>
      </c>
      <c r="N29" s="14">
        <f>E29*(H29-L29)</f>
        <v/>
      </c>
    </row>
    <row r="30">
      <c r="B30" s="17" t="inlineStr">
        <is>
          <t>TOTAL</t>
        </is>
      </c>
      <c r="C30" s="17" t="inlineStr"/>
      <c r="D30" s="13">
        <f>SUM(D6:D29)</f>
        <v/>
      </c>
      <c r="E30" s="13">
        <f>SUM(E6:E29)</f>
        <v/>
      </c>
      <c r="F30" s="13">
        <f>SUM(F6:F29)</f>
        <v/>
      </c>
      <c r="J30" s="18">
        <f>SUM(J6:J29)</f>
        <v/>
      </c>
      <c r="K30" s="18">
        <f>SUM(K6:K29)</f>
        <v/>
      </c>
      <c r="M30" s="18">
        <f>SUM(M6:M29)</f>
        <v/>
      </c>
      <c r="N30" s="18">
        <f>SUM(N6:N29)</f>
        <v/>
      </c>
    </row>
    <row r="33">
      <c r="B33" s="2" t="inlineStr">
        <is>
          <t>Summary by SKU</t>
        </is>
      </c>
    </row>
    <row r="34">
      <c r="B34" s="10" t="inlineStr">
        <is>
          <t>SKU</t>
        </is>
      </c>
      <c r="C34" s="10" t="inlineStr">
        <is>
          <t>Vol Prior</t>
        </is>
      </c>
      <c r="D34" s="10" t="inlineStr">
        <is>
          <t>Vol Curr</t>
        </is>
      </c>
      <c r="E34" s="10" t="inlineStr">
        <is>
          <t>Rev Prior</t>
        </is>
      </c>
      <c r="F34" s="10" t="inlineStr">
        <is>
          <t>Rev Curr</t>
        </is>
      </c>
      <c r="G34" s="10" t="inlineStr">
        <is>
          <t>GM Prior</t>
        </is>
      </c>
      <c r="H34" s="10" t="inlineStr">
        <is>
          <t>GM Curr</t>
        </is>
      </c>
      <c r="I34" s="10" t="inlineStr">
        <is>
          <t>GM% Prior</t>
        </is>
      </c>
      <c r="J34" s="10" t="inlineStr">
        <is>
          <t>GM% Curr</t>
        </is>
      </c>
    </row>
    <row r="35">
      <c r="B35" s="6" t="inlineStr">
        <is>
          <t>Sparkle Water 12pk</t>
        </is>
      </c>
      <c r="C35" s="15">
        <f>SUMIF($B$6:$B$29,B35,$D$6:$D$29)</f>
        <v/>
      </c>
      <c r="D35" s="15">
        <f>SUMIF($B$6:$B$29,B35,$E$6:$E$29)</f>
        <v/>
      </c>
      <c r="E35" s="14">
        <f>SUMIF($B$6:$B$29,B35,$J$6:$J$29)</f>
        <v/>
      </c>
      <c r="F35" s="14">
        <f>SUMIF($B$6:$B$29,B35,$K$6:$K$29)</f>
        <v/>
      </c>
      <c r="G35" s="14">
        <f>SUMIF($B$6:$B$29,B35,$M$6:$M$29)</f>
        <v/>
      </c>
      <c r="H35" s="14">
        <f>SUMIF($B$6:$B$29,B35,$N$6:$N$29)</f>
        <v/>
      </c>
      <c r="I35" s="19">
        <f>IF(E35=0,0,G35/E35)</f>
        <v/>
      </c>
      <c r="J35" s="19">
        <f>IF(F35=0,0,H35/F35)</f>
        <v/>
      </c>
    </row>
    <row r="36">
      <c r="B36" s="6" t="inlineStr">
        <is>
          <t>Protein Bar 12ct</t>
        </is>
      </c>
      <c r="C36" s="15">
        <f>SUMIF($B$6:$B$29,B36,$D$6:$D$29)</f>
        <v/>
      </c>
      <c r="D36" s="15">
        <f>SUMIF($B$6:$B$29,B36,$E$6:$E$29)</f>
        <v/>
      </c>
      <c r="E36" s="14">
        <f>SUMIF($B$6:$B$29,B36,$J$6:$J$29)</f>
        <v/>
      </c>
      <c r="F36" s="14">
        <f>SUMIF($B$6:$B$29,B36,$K$6:$K$29)</f>
        <v/>
      </c>
      <c r="G36" s="14">
        <f>SUMIF($B$6:$B$29,B36,$M$6:$M$29)</f>
        <v/>
      </c>
      <c r="H36" s="14">
        <f>SUMIF($B$6:$B$29,B36,$N$6:$N$29)</f>
        <v/>
      </c>
      <c r="I36" s="19">
        <f>IF(E36=0,0,G36/E36)</f>
        <v/>
      </c>
      <c r="J36" s="19">
        <f>IF(F36=0,0,H36/F36)</f>
        <v/>
      </c>
    </row>
    <row r="37">
      <c r="B37" s="6" t="inlineStr">
        <is>
          <t>Crunch Chips Family</t>
        </is>
      </c>
      <c r="C37" s="15">
        <f>SUMIF($B$6:$B$29,B37,$D$6:$D$29)</f>
        <v/>
      </c>
      <c r="D37" s="15">
        <f>SUMIF($B$6:$B$29,B37,$E$6:$E$29)</f>
        <v/>
      </c>
      <c r="E37" s="14">
        <f>SUMIF($B$6:$B$29,B37,$J$6:$J$29)</f>
        <v/>
      </c>
      <c r="F37" s="14">
        <f>SUMIF($B$6:$B$29,B37,$K$6:$K$29)</f>
        <v/>
      </c>
      <c r="G37" s="14">
        <f>SUMIF($B$6:$B$29,B37,$M$6:$M$29)</f>
        <v/>
      </c>
      <c r="H37" s="14">
        <f>SUMIF($B$6:$B$29,B37,$N$6:$N$29)</f>
        <v/>
      </c>
      <c r="I37" s="19">
        <f>IF(E37=0,0,G37/E37)</f>
        <v/>
      </c>
      <c r="J37" s="19">
        <f>IF(F37=0,0,H37/F37)</f>
        <v/>
      </c>
    </row>
    <row r="38">
      <c r="B38" s="6" t="inlineStr">
        <is>
          <t>Clean Wipe Refill</t>
        </is>
      </c>
      <c r="C38" s="15">
        <f>SUMIF($B$6:$B$29,B38,$D$6:$D$29)</f>
        <v/>
      </c>
      <c r="D38" s="15">
        <f>SUMIF($B$6:$B$29,B38,$E$6:$E$29)</f>
        <v/>
      </c>
      <c r="E38" s="14">
        <f>SUMIF($B$6:$B$29,B38,$J$6:$J$29)</f>
        <v/>
      </c>
      <c r="F38" s="14">
        <f>SUMIF($B$6:$B$29,B38,$K$6:$K$29)</f>
        <v/>
      </c>
      <c r="G38" s="14">
        <f>SUMIF($B$6:$B$29,B38,$M$6:$M$29)</f>
        <v/>
      </c>
      <c r="H38" s="14">
        <f>SUMIF($B$6:$B$29,B38,$N$6:$N$29)</f>
        <v/>
      </c>
      <c r="I38" s="19">
        <f>IF(E38=0,0,G38/E38)</f>
        <v/>
      </c>
      <c r="J38" s="19">
        <f>IF(F38=0,0,H38/F38)</f>
        <v/>
      </c>
    </row>
    <row r="39">
      <c r="B39" s="6" t="inlineStr">
        <is>
          <t>SoftSoap 3pk</t>
        </is>
      </c>
      <c r="C39" s="15">
        <f>SUMIF($B$6:$B$29,B39,$D$6:$D$29)</f>
        <v/>
      </c>
      <c r="D39" s="15">
        <f>SUMIF($B$6:$B$29,B39,$E$6:$E$29)</f>
        <v/>
      </c>
      <c r="E39" s="14">
        <f>SUMIF($B$6:$B$29,B39,$J$6:$J$29)</f>
        <v/>
      </c>
      <c r="F39" s="14">
        <f>SUMIF($B$6:$B$29,B39,$K$6:$K$29)</f>
        <v/>
      </c>
      <c r="G39" s="14">
        <f>SUMIF($B$6:$B$29,B39,$M$6:$M$29)</f>
        <v/>
      </c>
      <c r="H39" s="14">
        <f>SUMIF($B$6:$B$29,B39,$N$6:$N$29)</f>
        <v/>
      </c>
      <c r="I39" s="19">
        <f>IF(E39=0,0,G39/E39)</f>
        <v/>
      </c>
      <c r="J39" s="19">
        <f>IF(F39=0,0,H39/F39)</f>
        <v/>
      </c>
    </row>
    <row r="40">
      <c r="B40" s="6" t="inlineStr">
        <is>
          <t>Multipack Snacks</t>
        </is>
      </c>
      <c r="C40" s="15">
        <f>SUMIF($B$6:$B$29,B40,$D$6:$D$29)</f>
        <v/>
      </c>
      <c r="D40" s="15">
        <f>SUMIF($B$6:$B$29,B40,$E$6:$E$29)</f>
        <v/>
      </c>
      <c r="E40" s="14">
        <f>SUMIF($B$6:$B$29,B40,$J$6:$J$29)</f>
        <v/>
      </c>
      <c r="F40" s="14">
        <f>SUMIF($B$6:$B$29,B40,$K$6:$K$29)</f>
        <v/>
      </c>
      <c r="G40" s="14">
        <f>SUMIF($B$6:$B$29,B40,$M$6:$M$29)</f>
        <v/>
      </c>
      <c r="H40" s="14">
        <f>SUMIF($B$6:$B$29,B40,$N$6:$N$29)</f>
        <v/>
      </c>
      <c r="I40" s="19">
        <f>IF(E40=0,0,G40/E40)</f>
        <v/>
      </c>
      <c r="J40" s="19">
        <f>IF(F40=0,0,H40/F40)</f>
        <v/>
      </c>
    </row>
    <row r="41">
      <c r="B41" s="17" t="inlineStr">
        <is>
          <t>Total</t>
        </is>
      </c>
      <c r="C41" s="13">
        <f>SUM(C35:C40)</f>
        <v/>
      </c>
      <c r="D41" s="13">
        <f>SUM(D35:D40)</f>
        <v/>
      </c>
      <c r="E41" s="18">
        <f>SUM(E35:E40)</f>
        <v/>
      </c>
      <c r="F41" s="18">
        <f>SUM(F35:F40)</f>
        <v/>
      </c>
      <c r="G41" s="18">
        <f>SUM(G35:G40)</f>
        <v/>
      </c>
      <c r="H41" s="18">
        <f>SUM(H35:H40)</f>
        <v/>
      </c>
      <c r="I41" s="20">
        <f>IF(E41=0,0,G41/E41)</f>
        <v/>
      </c>
      <c r="J41" s="20">
        <f>IF(F41=0,0,H41/F41)</f>
        <v/>
      </c>
    </row>
    <row r="44">
      <c r="B44" s="2" t="inlineStr">
        <is>
          <t>Summary by Channel</t>
        </is>
      </c>
    </row>
    <row r="45">
      <c r="B45" s="10" t="inlineStr">
        <is>
          <t>Channel</t>
        </is>
      </c>
      <c r="C45" s="10" t="inlineStr">
        <is>
          <t>Vol Prior</t>
        </is>
      </c>
      <c r="D45" s="10" t="inlineStr">
        <is>
          <t>Vol Curr</t>
        </is>
      </c>
      <c r="E45" s="10" t="inlineStr">
        <is>
          <t>Rev Prior</t>
        </is>
      </c>
      <c r="F45" s="10" t="inlineStr">
        <is>
          <t>Rev Curr</t>
        </is>
      </c>
      <c r="G45" s="10" t="inlineStr">
        <is>
          <t>GM Prior</t>
        </is>
      </c>
      <c r="H45" s="10" t="inlineStr">
        <is>
          <t>GM Curr</t>
        </is>
      </c>
      <c r="I45" s="10" t="inlineStr">
        <is>
          <t>GM% Prior</t>
        </is>
      </c>
      <c r="J45" s="10" t="inlineStr">
        <is>
          <t>GM% Curr</t>
        </is>
      </c>
      <c r="K45" s="10" t="inlineStr">
        <is>
          <t>Vol Mix% Prior</t>
        </is>
      </c>
      <c r="L45" s="10" t="inlineStr">
        <is>
          <t>Vol Mix% Curr</t>
        </is>
      </c>
    </row>
    <row r="46">
      <c r="B46" s="6" t="inlineStr">
        <is>
          <t>Grocery</t>
        </is>
      </c>
      <c r="C46" s="15">
        <f>SUMIF($C$6:$C$29,B46,$D$6:$D$29)</f>
        <v/>
      </c>
      <c r="D46" s="15">
        <f>SUMIF($C$6:$C$29,B46,$E$6:$E$29)</f>
        <v/>
      </c>
      <c r="E46" s="14">
        <f>SUMIF($C$6:$C$29,B46,$J$6:$J$29)</f>
        <v/>
      </c>
      <c r="F46" s="14">
        <f>SUMIF($C$6:$C$29,B46,$K$6:$K$29)</f>
        <v/>
      </c>
      <c r="G46" s="14">
        <f>SUMIF($C$6:$C$29,B46,$M$6:$M$29)</f>
        <v/>
      </c>
      <c r="H46" s="14">
        <f>SUMIF($C$6:$C$29,B46,$N$6:$N$29)</f>
        <v/>
      </c>
      <c r="I46" s="19">
        <f>IF(E46=0,0,G46/E46)</f>
        <v/>
      </c>
      <c r="J46" s="19">
        <f>IF(F46=0,0,H46/F46)</f>
        <v/>
      </c>
      <c r="K46" s="19">
        <f>C46/$C$50</f>
        <v/>
      </c>
      <c r="L46" s="19">
        <f>D46/$D$50</f>
        <v/>
      </c>
    </row>
    <row r="47">
      <c r="B47" s="6" t="inlineStr">
        <is>
          <t>Mass</t>
        </is>
      </c>
      <c r="C47" s="15">
        <f>SUMIF($C$6:$C$29,B47,$D$6:$D$29)</f>
        <v/>
      </c>
      <c r="D47" s="15">
        <f>SUMIF($C$6:$C$29,B47,$E$6:$E$29)</f>
        <v/>
      </c>
      <c r="E47" s="14">
        <f>SUMIF($C$6:$C$29,B47,$J$6:$J$29)</f>
        <v/>
      </c>
      <c r="F47" s="14">
        <f>SUMIF($C$6:$C$29,B47,$K$6:$K$29)</f>
        <v/>
      </c>
      <c r="G47" s="14">
        <f>SUMIF($C$6:$C$29,B47,$M$6:$M$29)</f>
        <v/>
      </c>
      <c r="H47" s="14">
        <f>SUMIF($C$6:$C$29,B47,$N$6:$N$29)</f>
        <v/>
      </c>
      <c r="I47" s="19">
        <f>IF(E47=0,0,G47/E47)</f>
        <v/>
      </c>
      <c r="J47" s="19">
        <f>IF(F47=0,0,H47/F47)</f>
        <v/>
      </c>
      <c r="K47" s="19">
        <f>C47/$C$50</f>
        <v/>
      </c>
      <c r="L47" s="19">
        <f>D47/$D$50</f>
        <v/>
      </c>
    </row>
    <row r="48">
      <c r="B48" s="6" t="inlineStr">
        <is>
          <t>Club</t>
        </is>
      </c>
      <c r="C48" s="15">
        <f>SUMIF($C$6:$C$29,B48,$D$6:$D$29)</f>
        <v/>
      </c>
      <c r="D48" s="15">
        <f>SUMIF($C$6:$C$29,B48,$E$6:$E$29)</f>
        <v/>
      </c>
      <c r="E48" s="14">
        <f>SUMIF($C$6:$C$29,B48,$J$6:$J$29)</f>
        <v/>
      </c>
      <c r="F48" s="14">
        <f>SUMIF($C$6:$C$29,B48,$K$6:$K$29)</f>
        <v/>
      </c>
      <c r="G48" s="14">
        <f>SUMIF($C$6:$C$29,B48,$M$6:$M$29)</f>
        <v/>
      </c>
      <c r="H48" s="14">
        <f>SUMIF($C$6:$C$29,B48,$N$6:$N$29)</f>
        <v/>
      </c>
      <c r="I48" s="19">
        <f>IF(E48=0,0,G48/E48)</f>
        <v/>
      </c>
      <c r="J48" s="19">
        <f>IF(F48=0,0,H48/F48)</f>
        <v/>
      </c>
      <c r="K48" s="19">
        <f>C48/$C$50</f>
        <v/>
      </c>
      <c r="L48" s="19">
        <f>D48/$D$50</f>
        <v/>
      </c>
    </row>
    <row r="49">
      <c r="B49" s="6" t="inlineStr">
        <is>
          <t>E-comm</t>
        </is>
      </c>
      <c r="C49" s="15">
        <f>SUMIF($C$6:$C$29,B49,$D$6:$D$29)</f>
        <v/>
      </c>
      <c r="D49" s="15">
        <f>SUMIF($C$6:$C$29,B49,$E$6:$E$29)</f>
        <v/>
      </c>
      <c r="E49" s="14">
        <f>SUMIF($C$6:$C$29,B49,$J$6:$J$29)</f>
        <v/>
      </c>
      <c r="F49" s="14">
        <f>SUMIF($C$6:$C$29,B49,$K$6:$K$29)</f>
        <v/>
      </c>
      <c r="G49" s="14">
        <f>SUMIF($C$6:$C$29,B49,$M$6:$M$29)</f>
        <v/>
      </c>
      <c r="H49" s="14">
        <f>SUMIF($C$6:$C$29,B49,$N$6:$N$29)</f>
        <v/>
      </c>
      <c r="I49" s="19">
        <f>IF(E49=0,0,G49/E49)</f>
        <v/>
      </c>
      <c r="J49" s="19">
        <f>IF(F49=0,0,H49/F49)</f>
        <v/>
      </c>
      <c r="K49" s="19">
        <f>C49/$C$50</f>
        <v/>
      </c>
      <c r="L49" s="19">
        <f>D49/$D$50</f>
        <v/>
      </c>
    </row>
    <row r="50">
      <c r="B50" s="17" t="inlineStr">
        <is>
          <t>Total</t>
        </is>
      </c>
      <c r="C50" s="13">
        <f>SUM(C46:C49)</f>
        <v/>
      </c>
      <c r="D50" s="13">
        <f>SUM(D46:D49)</f>
        <v/>
      </c>
      <c r="E50" s="18">
        <f>SUM(E46:E49)</f>
        <v/>
      </c>
      <c r="F50" s="18">
        <f>SUM(F46:F49)</f>
        <v/>
      </c>
      <c r="G50" s="18">
        <f>SUM(G46:G49)</f>
        <v/>
      </c>
      <c r="H50" s="18">
        <f>SUM(H46:H49)</f>
        <v/>
      </c>
      <c r="I50" s="20">
        <f>IF(E50=0,0,G50/E50)</f>
        <v/>
      </c>
      <c r="J50" s="20">
        <f>IF(F50=0,0,H50/F50)</f>
        <v/>
      </c>
      <c r="K50" s="20">
        <f>1</f>
        <v/>
      </c>
      <c r="L50" s="20">
        <f>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Q84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50" customWidth="1" min="5" max="5"/>
  </cols>
  <sheetData>
    <row r="2">
      <c r="B2" s="1" t="inlineStr">
        <is>
          <t>Price / Volume / Mix Bridge</t>
        </is>
      </c>
    </row>
    <row r="3" ht="40" customHeight="1">
      <c r="B3" s="21" t="inlineStr">
        <is>
          <t>Decomposition of revenue and gross margin $ from prior → current. Volume at prior mix &amp; prior price/margin; Price on current volume; Mix = residual mix shift; Cost = COGS/unit change (≈0 here).</t>
        </is>
      </c>
    </row>
    <row r="5">
      <c r="B5" s="2" t="inlineStr">
        <is>
          <t>A. Line-level components (SKU × channel)</t>
        </is>
      </c>
    </row>
    <row r="6">
      <c r="B6" s="10" t="inlineStr">
        <is>
          <t>SKU</t>
        </is>
      </c>
      <c r="C6" s="10" t="inlineStr">
        <is>
          <t>Channel</t>
        </is>
      </c>
      <c r="D6" s="10" t="inlineStr">
        <is>
          <t>V0</t>
        </is>
      </c>
      <c r="E6" s="10" t="inlineStr">
        <is>
          <t>V1</t>
        </is>
      </c>
      <c r="F6" s="10" t="inlineStr">
        <is>
          <t>P0</t>
        </is>
      </c>
      <c r="G6" s="10" t="inlineStr">
        <is>
          <t>P1</t>
        </is>
      </c>
      <c r="H6" s="10" t="inlineStr">
        <is>
          <t>C</t>
        </is>
      </c>
      <c r="I6" s="10" t="inlineStr">
        <is>
          <t>Rev0</t>
        </is>
      </c>
      <c r="J6" s="10" t="inlineStr">
        <is>
          <t>Rev1</t>
        </is>
      </c>
      <c r="K6" s="10" t="inlineStr">
        <is>
          <t>GM0</t>
        </is>
      </c>
      <c r="L6" s="10" t="inlineStr">
        <is>
          <t>GM1</t>
        </is>
      </c>
      <c r="M6" s="10" t="inlineStr">
        <is>
          <t>V1*P0</t>
        </is>
      </c>
      <c r="N6" s="10" t="inlineStr">
        <is>
          <t>V1*m0</t>
        </is>
      </c>
      <c r="O6" s="10" t="inlineStr">
        <is>
          <t>Price_Rev</t>
        </is>
      </c>
      <c r="P6" s="10" t="inlineStr">
        <is>
          <t>Price_GM</t>
        </is>
      </c>
      <c r="Q6" s="10" t="inlineStr">
        <is>
          <t>Cost_GM</t>
        </is>
      </c>
    </row>
    <row r="7">
      <c r="B7" s="6">
        <f>'02_Volume_Price'!B6</f>
        <v/>
      </c>
      <c r="C7" s="6">
        <f>'02_Volume_Price'!C6</f>
        <v/>
      </c>
      <c r="D7" s="15">
        <f>'02_Volume_Price'!D6</f>
        <v/>
      </c>
      <c r="E7" s="15">
        <f>'02_Volume_Price'!E6</f>
        <v/>
      </c>
      <c r="F7" s="16">
        <f>'02_Volume_Price'!G6</f>
        <v/>
      </c>
      <c r="G7" s="16">
        <f>'02_Volume_Price'!H6</f>
        <v/>
      </c>
      <c r="H7" s="16">
        <f>'02_Volume_Price'!L6</f>
        <v/>
      </c>
      <c r="I7" s="14">
        <f>D7*F7</f>
        <v/>
      </c>
      <c r="J7" s="14">
        <f>E7*G7</f>
        <v/>
      </c>
      <c r="K7" s="14">
        <f>D7*(F7-H7)</f>
        <v/>
      </c>
      <c r="L7" s="14">
        <f>E7*(G7-H7)</f>
        <v/>
      </c>
      <c r="M7" s="14">
        <f>E7*F7</f>
        <v/>
      </c>
      <c r="N7" s="14">
        <f>E7*(F7-H7)</f>
        <v/>
      </c>
      <c r="O7" s="14">
        <f>E7*(G7-F7)</f>
        <v/>
      </c>
      <c r="P7" s="14">
        <f>E7*(G7-F7)</f>
        <v/>
      </c>
      <c r="Q7" s="14">
        <f>E7*0</f>
        <v/>
      </c>
    </row>
    <row r="8">
      <c r="B8" s="6">
        <f>'02_Volume_Price'!B7</f>
        <v/>
      </c>
      <c r="C8" s="6">
        <f>'02_Volume_Price'!C7</f>
        <v/>
      </c>
      <c r="D8" s="15">
        <f>'02_Volume_Price'!D7</f>
        <v/>
      </c>
      <c r="E8" s="15">
        <f>'02_Volume_Price'!E7</f>
        <v/>
      </c>
      <c r="F8" s="16">
        <f>'02_Volume_Price'!G7</f>
        <v/>
      </c>
      <c r="G8" s="16">
        <f>'02_Volume_Price'!H7</f>
        <v/>
      </c>
      <c r="H8" s="16">
        <f>'02_Volume_Price'!L7</f>
        <v/>
      </c>
      <c r="I8" s="14">
        <f>D8*F8</f>
        <v/>
      </c>
      <c r="J8" s="14">
        <f>E8*G8</f>
        <v/>
      </c>
      <c r="K8" s="14">
        <f>D8*(F8-H8)</f>
        <v/>
      </c>
      <c r="L8" s="14">
        <f>E8*(G8-H8)</f>
        <v/>
      </c>
      <c r="M8" s="14">
        <f>E8*F8</f>
        <v/>
      </c>
      <c r="N8" s="14">
        <f>E8*(F8-H8)</f>
        <v/>
      </c>
      <c r="O8" s="14">
        <f>E8*(G8-F8)</f>
        <v/>
      </c>
      <c r="P8" s="14">
        <f>E8*(G8-F8)</f>
        <v/>
      </c>
      <c r="Q8" s="14">
        <f>E8*0</f>
        <v/>
      </c>
    </row>
    <row r="9">
      <c r="B9" s="6">
        <f>'02_Volume_Price'!B8</f>
        <v/>
      </c>
      <c r="C9" s="6">
        <f>'02_Volume_Price'!C8</f>
        <v/>
      </c>
      <c r="D9" s="15">
        <f>'02_Volume_Price'!D8</f>
        <v/>
      </c>
      <c r="E9" s="15">
        <f>'02_Volume_Price'!E8</f>
        <v/>
      </c>
      <c r="F9" s="16">
        <f>'02_Volume_Price'!G8</f>
        <v/>
      </c>
      <c r="G9" s="16">
        <f>'02_Volume_Price'!H8</f>
        <v/>
      </c>
      <c r="H9" s="16">
        <f>'02_Volume_Price'!L8</f>
        <v/>
      </c>
      <c r="I9" s="14">
        <f>D9*F9</f>
        <v/>
      </c>
      <c r="J9" s="14">
        <f>E9*G9</f>
        <v/>
      </c>
      <c r="K9" s="14">
        <f>D9*(F9-H9)</f>
        <v/>
      </c>
      <c r="L9" s="14">
        <f>E9*(G9-H9)</f>
        <v/>
      </c>
      <c r="M9" s="14">
        <f>E9*F9</f>
        <v/>
      </c>
      <c r="N9" s="14">
        <f>E9*(F9-H9)</f>
        <v/>
      </c>
      <c r="O9" s="14">
        <f>E9*(G9-F9)</f>
        <v/>
      </c>
      <c r="P9" s="14">
        <f>E9*(G9-F9)</f>
        <v/>
      </c>
      <c r="Q9" s="14">
        <f>E9*0</f>
        <v/>
      </c>
    </row>
    <row r="10">
      <c r="B10" s="6">
        <f>'02_Volume_Price'!B9</f>
        <v/>
      </c>
      <c r="C10" s="6">
        <f>'02_Volume_Price'!C9</f>
        <v/>
      </c>
      <c r="D10" s="15">
        <f>'02_Volume_Price'!D9</f>
        <v/>
      </c>
      <c r="E10" s="15">
        <f>'02_Volume_Price'!E9</f>
        <v/>
      </c>
      <c r="F10" s="16">
        <f>'02_Volume_Price'!G9</f>
        <v/>
      </c>
      <c r="G10" s="16">
        <f>'02_Volume_Price'!H9</f>
        <v/>
      </c>
      <c r="H10" s="16">
        <f>'02_Volume_Price'!L9</f>
        <v/>
      </c>
      <c r="I10" s="14">
        <f>D10*F10</f>
        <v/>
      </c>
      <c r="J10" s="14">
        <f>E10*G10</f>
        <v/>
      </c>
      <c r="K10" s="14">
        <f>D10*(F10-H10)</f>
        <v/>
      </c>
      <c r="L10" s="14">
        <f>E10*(G10-H10)</f>
        <v/>
      </c>
      <c r="M10" s="14">
        <f>E10*F10</f>
        <v/>
      </c>
      <c r="N10" s="14">
        <f>E10*(F10-H10)</f>
        <v/>
      </c>
      <c r="O10" s="14">
        <f>E10*(G10-F10)</f>
        <v/>
      </c>
      <c r="P10" s="14">
        <f>E10*(G10-F10)</f>
        <v/>
      </c>
      <c r="Q10" s="14">
        <f>E10*0</f>
        <v/>
      </c>
    </row>
    <row r="11">
      <c r="B11" s="6">
        <f>'02_Volume_Price'!B10</f>
        <v/>
      </c>
      <c r="C11" s="6">
        <f>'02_Volume_Price'!C10</f>
        <v/>
      </c>
      <c r="D11" s="15">
        <f>'02_Volume_Price'!D10</f>
        <v/>
      </c>
      <c r="E11" s="15">
        <f>'02_Volume_Price'!E10</f>
        <v/>
      </c>
      <c r="F11" s="16">
        <f>'02_Volume_Price'!G10</f>
        <v/>
      </c>
      <c r="G11" s="16">
        <f>'02_Volume_Price'!H10</f>
        <v/>
      </c>
      <c r="H11" s="16">
        <f>'02_Volume_Price'!L10</f>
        <v/>
      </c>
      <c r="I11" s="14">
        <f>D11*F11</f>
        <v/>
      </c>
      <c r="J11" s="14">
        <f>E11*G11</f>
        <v/>
      </c>
      <c r="K11" s="14">
        <f>D11*(F11-H11)</f>
        <v/>
      </c>
      <c r="L11" s="14">
        <f>E11*(G11-H11)</f>
        <v/>
      </c>
      <c r="M11" s="14">
        <f>E11*F11</f>
        <v/>
      </c>
      <c r="N11" s="14">
        <f>E11*(F11-H11)</f>
        <v/>
      </c>
      <c r="O11" s="14">
        <f>E11*(G11-F11)</f>
        <v/>
      </c>
      <c r="P11" s="14">
        <f>E11*(G11-F11)</f>
        <v/>
      </c>
      <c r="Q11" s="14">
        <f>E11*0</f>
        <v/>
      </c>
    </row>
    <row r="12">
      <c r="B12" s="6">
        <f>'02_Volume_Price'!B11</f>
        <v/>
      </c>
      <c r="C12" s="6">
        <f>'02_Volume_Price'!C11</f>
        <v/>
      </c>
      <c r="D12" s="15">
        <f>'02_Volume_Price'!D11</f>
        <v/>
      </c>
      <c r="E12" s="15">
        <f>'02_Volume_Price'!E11</f>
        <v/>
      </c>
      <c r="F12" s="16">
        <f>'02_Volume_Price'!G11</f>
        <v/>
      </c>
      <c r="G12" s="16">
        <f>'02_Volume_Price'!H11</f>
        <v/>
      </c>
      <c r="H12" s="16">
        <f>'02_Volume_Price'!L11</f>
        <v/>
      </c>
      <c r="I12" s="14">
        <f>D12*F12</f>
        <v/>
      </c>
      <c r="J12" s="14">
        <f>E12*G12</f>
        <v/>
      </c>
      <c r="K12" s="14">
        <f>D12*(F12-H12)</f>
        <v/>
      </c>
      <c r="L12" s="14">
        <f>E12*(G12-H12)</f>
        <v/>
      </c>
      <c r="M12" s="14">
        <f>E12*F12</f>
        <v/>
      </c>
      <c r="N12" s="14">
        <f>E12*(F12-H12)</f>
        <v/>
      </c>
      <c r="O12" s="14">
        <f>E12*(G12-F12)</f>
        <v/>
      </c>
      <c r="P12" s="14">
        <f>E12*(G12-F12)</f>
        <v/>
      </c>
      <c r="Q12" s="14">
        <f>E12*0</f>
        <v/>
      </c>
    </row>
    <row r="13">
      <c r="B13" s="6">
        <f>'02_Volume_Price'!B12</f>
        <v/>
      </c>
      <c r="C13" s="6">
        <f>'02_Volume_Price'!C12</f>
        <v/>
      </c>
      <c r="D13" s="15">
        <f>'02_Volume_Price'!D12</f>
        <v/>
      </c>
      <c r="E13" s="15">
        <f>'02_Volume_Price'!E12</f>
        <v/>
      </c>
      <c r="F13" s="16">
        <f>'02_Volume_Price'!G12</f>
        <v/>
      </c>
      <c r="G13" s="16">
        <f>'02_Volume_Price'!H12</f>
        <v/>
      </c>
      <c r="H13" s="16">
        <f>'02_Volume_Price'!L12</f>
        <v/>
      </c>
      <c r="I13" s="14">
        <f>D13*F13</f>
        <v/>
      </c>
      <c r="J13" s="14">
        <f>E13*G13</f>
        <v/>
      </c>
      <c r="K13" s="14">
        <f>D13*(F13-H13)</f>
        <v/>
      </c>
      <c r="L13" s="14">
        <f>E13*(G13-H13)</f>
        <v/>
      </c>
      <c r="M13" s="14">
        <f>E13*F13</f>
        <v/>
      </c>
      <c r="N13" s="14">
        <f>E13*(F13-H13)</f>
        <v/>
      </c>
      <c r="O13" s="14">
        <f>E13*(G13-F13)</f>
        <v/>
      </c>
      <c r="P13" s="14">
        <f>E13*(G13-F13)</f>
        <v/>
      </c>
      <c r="Q13" s="14">
        <f>E13*0</f>
        <v/>
      </c>
    </row>
    <row r="14">
      <c r="B14" s="6">
        <f>'02_Volume_Price'!B13</f>
        <v/>
      </c>
      <c r="C14" s="6">
        <f>'02_Volume_Price'!C13</f>
        <v/>
      </c>
      <c r="D14" s="15">
        <f>'02_Volume_Price'!D13</f>
        <v/>
      </c>
      <c r="E14" s="15">
        <f>'02_Volume_Price'!E13</f>
        <v/>
      </c>
      <c r="F14" s="16">
        <f>'02_Volume_Price'!G13</f>
        <v/>
      </c>
      <c r="G14" s="16">
        <f>'02_Volume_Price'!H13</f>
        <v/>
      </c>
      <c r="H14" s="16">
        <f>'02_Volume_Price'!L13</f>
        <v/>
      </c>
      <c r="I14" s="14">
        <f>D14*F14</f>
        <v/>
      </c>
      <c r="J14" s="14">
        <f>E14*G14</f>
        <v/>
      </c>
      <c r="K14" s="14">
        <f>D14*(F14-H14)</f>
        <v/>
      </c>
      <c r="L14" s="14">
        <f>E14*(G14-H14)</f>
        <v/>
      </c>
      <c r="M14" s="14">
        <f>E14*F14</f>
        <v/>
      </c>
      <c r="N14" s="14">
        <f>E14*(F14-H14)</f>
        <v/>
      </c>
      <c r="O14" s="14">
        <f>E14*(G14-F14)</f>
        <v/>
      </c>
      <c r="P14" s="14">
        <f>E14*(G14-F14)</f>
        <v/>
      </c>
      <c r="Q14" s="14">
        <f>E14*0</f>
        <v/>
      </c>
    </row>
    <row r="15">
      <c r="B15" s="6">
        <f>'02_Volume_Price'!B14</f>
        <v/>
      </c>
      <c r="C15" s="6">
        <f>'02_Volume_Price'!C14</f>
        <v/>
      </c>
      <c r="D15" s="15">
        <f>'02_Volume_Price'!D14</f>
        <v/>
      </c>
      <c r="E15" s="15">
        <f>'02_Volume_Price'!E14</f>
        <v/>
      </c>
      <c r="F15" s="16">
        <f>'02_Volume_Price'!G14</f>
        <v/>
      </c>
      <c r="G15" s="16">
        <f>'02_Volume_Price'!H14</f>
        <v/>
      </c>
      <c r="H15" s="16">
        <f>'02_Volume_Price'!L14</f>
        <v/>
      </c>
      <c r="I15" s="14">
        <f>D15*F15</f>
        <v/>
      </c>
      <c r="J15" s="14">
        <f>E15*G15</f>
        <v/>
      </c>
      <c r="K15" s="14">
        <f>D15*(F15-H15)</f>
        <v/>
      </c>
      <c r="L15" s="14">
        <f>E15*(G15-H15)</f>
        <v/>
      </c>
      <c r="M15" s="14">
        <f>E15*F15</f>
        <v/>
      </c>
      <c r="N15" s="14">
        <f>E15*(F15-H15)</f>
        <v/>
      </c>
      <c r="O15" s="14">
        <f>E15*(G15-F15)</f>
        <v/>
      </c>
      <c r="P15" s="14">
        <f>E15*(G15-F15)</f>
        <v/>
      </c>
      <c r="Q15" s="14">
        <f>E15*0</f>
        <v/>
      </c>
    </row>
    <row r="16">
      <c r="B16" s="6">
        <f>'02_Volume_Price'!B15</f>
        <v/>
      </c>
      <c r="C16" s="6">
        <f>'02_Volume_Price'!C15</f>
        <v/>
      </c>
      <c r="D16" s="15">
        <f>'02_Volume_Price'!D15</f>
        <v/>
      </c>
      <c r="E16" s="15">
        <f>'02_Volume_Price'!E15</f>
        <v/>
      </c>
      <c r="F16" s="16">
        <f>'02_Volume_Price'!G15</f>
        <v/>
      </c>
      <c r="G16" s="16">
        <f>'02_Volume_Price'!H15</f>
        <v/>
      </c>
      <c r="H16" s="16">
        <f>'02_Volume_Price'!L15</f>
        <v/>
      </c>
      <c r="I16" s="14">
        <f>D16*F16</f>
        <v/>
      </c>
      <c r="J16" s="14">
        <f>E16*G16</f>
        <v/>
      </c>
      <c r="K16" s="14">
        <f>D16*(F16-H16)</f>
        <v/>
      </c>
      <c r="L16" s="14">
        <f>E16*(G16-H16)</f>
        <v/>
      </c>
      <c r="M16" s="14">
        <f>E16*F16</f>
        <v/>
      </c>
      <c r="N16" s="14">
        <f>E16*(F16-H16)</f>
        <v/>
      </c>
      <c r="O16" s="14">
        <f>E16*(G16-F16)</f>
        <v/>
      </c>
      <c r="P16" s="14">
        <f>E16*(G16-F16)</f>
        <v/>
      </c>
      <c r="Q16" s="14">
        <f>E16*0</f>
        <v/>
      </c>
    </row>
    <row r="17">
      <c r="B17" s="6">
        <f>'02_Volume_Price'!B16</f>
        <v/>
      </c>
      <c r="C17" s="6">
        <f>'02_Volume_Price'!C16</f>
        <v/>
      </c>
      <c r="D17" s="15">
        <f>'02_Volume_Price'!D16</f>
        <v/>
      </c>
      <c r="E17" s="15">
        <f>'02_Volume_Price'!E16</f>
        <v/>
      </c>
      <c r="F17" s="16">
        <f>'02_Volume_Price'!G16</f>
        <v/>
      </c>
      <c r="G17" s="16">
        <f>'02_Volume_Price'!H16</f>
        <v/>
      </c>
      <c r="H17" s="16">
        <f>'02_Volume_Price'!L16</f>
        <v/>
      </c>
      <c r="I17" s="14">
        <f>D17*F17</f>
        <v/>
      </c>
      <c r="J17" s="14">
        <f>E17*G17</f>
        <v/>
      </c>
      <c r="K17" s="14">
        <f>D17*(F17-H17)</f>
        <v/>
      </c>
      <c r="L17" s="14">
        <f>E17*(G17-H17)</f>
        <v/>
      </c>
      <c r="M17" s="14">
        <f>E17*F17</f>
        <v/>
      </c>
      <c r="N17" s="14">
        <f>E17*(F17-H17)</f>
        <v/>
      </c>
      <c r="O17" s="14">
        <f>E17*(G17-F17)</f>
        <v/>
      </c>
      <c r="P17" s="14">
        <f>E17*(G17-F17)</f>
        <v/>
      </c>
      <c r="Q17" s="14">
        <f>E17*0</f>
        <v/>
      </c>
    </row>
    <row r="18">
      <c r="B18" s="6">
        <f>'02_Volume_Price'!B17</f>
        <v/>
      </c>
      <c r="C18" s="6">
        <f>'02_Volume_Price'!C17</f>
        <v/>
      </c>
      <c r="D18" s="15">
        <f>'02_Volume_Price'!D17</f>
        <v/>
      </c>
      <c r="E18" s="15">
        <f>'02_Volume_Price'!E17</f>
        <v/>
      </c>
      <c r="F18" s="16">
        <f>'02_Volume_Price'!G17</f>
        <v/>
      </c>
      <c r="G18" s="16">
        <f>'02_Volume_Price'!H17</f>
        <v/>
      </c>
      <c r="H18" s="16">
        <f>'02_Volume_Price'!L17</f>
        <v/>
      </c>
      <c r="I18" s="14">
        <f>D18*F18</f>
        <v/>
      </c>
      <c r="J18" s="14">
        <f>E18*G18</f>
        <v/>
      </c>
      <c r="K18" s="14">
        <f>D18*(F18-H18)</f>
        <v/>
      </c>
      <c r="L18" s="14">
        <f>E18*(G18-H18)</f>
        <v/>
      </c>
      <c r="M18" s="14">
        <f>E18*F18</f>
        <v/>
      </c>
      <c r="N18" s="14">
        <f>E18*(F18-H18)</f>
        <v/>
      </c>
      <c r="O18" s="14">
        <f>E18*(G18-F18)</f>
        <v/>
      </c>
      <c r="P18" s="14">
        <f>E18*(G18-F18)</f>
        <v/>
      </c>
      <c r="Q18" s="14">
        <f>E18*0</f>
        <v/>
      </c>
    </row>
    <row r="19">
      <c r="B19" s="6">
        <f>'02_Volume_Price'!B18</f>
        <v/>
      </c>
      <c r="C19" s="6">
        <f>'02_Volume_Price'!C18</f>
        <v/>
      </c>
      <c r="D19" s="15">
        <f>'02_Volume_Price'!D18</f>
        <v/>
      </c>
      <c r="E19" s="15">
        <f>'02_Volume_Price'!E18</f>
        <v/>
      </c>
      <c r="F19" s="16">
        <f>'02_Volume_Price'!G18</f>
        <v/>
      </c>
      <c r="G19" s="16">
        <f>'02_Volume_Price'!H18</f>
        <v/>
      </c>
      <c r="H19" s="16">
        <f>'02_Volume_Price'!L18</f>
        <v/>
      </c>
      <c r="I19" s="14">
        <f>D19*F19</f>
        <v/>
      </c>
      <c r="J19" s="14">
        <f>E19*G19</f>
        <v/>
      </c>
      <c r="K19" s="14">
        <f>D19*(F19-H19)</f>
        <v/>
      </c>
      <c r="L19" s="14">
        <f>E19*(G19-H19)</f>
        <v/>
      </c>
      <c r="M19" s="14">
        <f>E19*F19</f>
        <v/>
      </c>
      <c r="N19" s="14">
        <f>E19*(F19-H19)</f>
        <v/>
      </c>
      <c r="O19" s="14">
        <f>E19*(G19-F19)</f>
        <v/>
      </c>
      <c r="P19" s="14">
        <f>E19*(G19-F19)</f>
        <v/>
      </c>
      <c r="Q19" s="14">
        <f>E19*0</f>
        <v/>
      </c>
    </row>
    <row r="20">
      <c r="B20" s="6">
        <f>'02_Volume_Price'!B19</f>
        <v/>
      </c>
      <c r="C20" s="6">
        <f>'02_Volume_Price'!C19</f>
        <v/>
      </c>
      <c r="D20" s="15">
        <f>'02_Volume_Price'!D19</f>
        <v/>
      </c>
      <c r="E20" s="15">
        <f>'02_Volume_Price'!E19</f>
        <v/>
      </c>
      <c r="F20" s="16">
        <f>'02_Volume_Price'!G19</f>
        <v/>
      </c>
      <c r="G20" s="16">
        <f>'02_Volume_Price'!H19</f>
        <v/>
      </c>
      <c r="H20" s="16">
        <f>'02_Volume_Price'!L19</f>
        <v/>
      </c>
      <c r="I20" s="14">
        <f>D20*F20</f>
        <v/>
      </c>
      <c r="J20" s="14">
        <f>E20*G20</f>
        <v/>
      </c>
      <c r="K20" s="14">
        <f>D20*(F20-H20)</f>
        <v/>
      </c>
      <c r="L20" s="14">
        <f>E20*(G20-H20)</f>
        <v/>
      </c>
      <c r="M20" s="14">
        <f>E20*F20</f>
        <v/>
      </c>
      <c r="N20" s="14">
        <f>E20*(F20-H20)</f>
        <v/>
      </c>
      <c r="O20" s="14">
        <f>E20*(G20-F20)</f>
        <v/>
      </c>
      <c r="P20" s="14">
        <f>E20*(G20-F20)</f>
        <v/>
      </c>
      <c r="Q20" s="14">
        <f>E20*0</f>
        <v/>
      </c>
    </row>
    <row r="21">
      <c r="B21" s="6">
        <f>'02_Volume_Price'!B20</f>
        <v/>
      </c>
      <c r="C21" s="6">
        <f>'02_Volume_Price'!C20</f>
        <v/>
      </c>
      <c r="D21" s="15">
        <f>'02_Volume_Price'!D20</f>
        <v/>
      </c>
      <c r="E21" s="15">
        <f>'02_Volume_Price'!E20</f>
        <v/>
      </c>
      <c r="F21" s="16">
        <f>'02_Volume_Price'!G20</f>
        <v/>
      </c>
      <c r="G21" s="16">
        <f>'02_Volume_Price'!H20</f>
        <v/>
      </c>
      <c r="H21" s="16">
        <f>'02_Volume_Price'!L20</f>
        <v/>
      </c>
      <c r="I21" s="14">
        <f>D21*F21</f>
        <v/>
      </c>
      <c r="J21" s="14">
        <f>E21*G21</f>
        <v/>
      </c>
      <c r="K21" s="14">
        <f>D21*(F21-H21)</f>
        <v/>
      </c>
      <c r="L21" s="14">
        <f>E21*(G21-H21)</f>
        <v/>
      </c>
      <c r="M21" s="14">
        <f>E21*F21</f>
        <v/>
      </c>
      <c r="N21" s="14">
        <f>E21*(F21-H21)</f>
        <v/>
      </c>
      <c r="O21" s="14">
        <f>E21*(G21-F21)</f>
        <v/>
      </c>
      <c r="P21" s="14">
        <f>E21*(G21-F21)</f>
        <v/>
      </c>
      <c r="Q21" s="14">
        <f>E21*0</f>
        <v/>
      </c>
    </row>
    <row r="22">
      <c r="B22" s="6">
        <f>'02_Volume_Price'!B21</f>
        <v/>
      </c>
      <c r="C22" s="6">
        <f>'02_Volume_Price'!C21</f>
        <v/>
      </c>
      <c r="D22" s="15">
        <f>'02_Volume_Price'!D21</f>
        <v/>
      </c>
      <c r="E22" s="15">
        <f>'02_Volume_Price'!E21</f>
        <v/>
      </c>
      <c r="F22" s="16">
        <f>'02_Volume_Price'!G21</f>
        <v/>
      </c>
      <c r="G22" s="16">
        <f>'02_Volume_Price'!H21</f>
        <v/>
      </c>
      <c r="H22" s="16">
        <f>'02_Volume_Price'!L21</f>
        <v/>
      </c>
      <c r="I22" s="14">
        <f>D22*F22</f>
        <v/>
      </c>
      <c r="J22" s="14">
        <f>E22*G22</f>
        <v/>
      </c>
      <c r="K22" s="14">
        <f>D22*(F22-H22)</f>
        <v/>
      </c>
      <c r="L22" s="14">
        <f>E22*(G22-H22)</f>
        <v/>
      </c>
      <c r="M22" s="14">
        <f>E22*F22</f>
        <v/>
      </c>
      <c r="N22" s="14">
        <f>E22*(F22-H22)</f>
        <v/>
      </c>
      <c r="O22" s="14">
        <f>E22*(G22-F22)</f>
        <v/>
      </c>
      <c r="P22" s="14">
        <f>E22*(G22-F22)</f>
        <v/>
      </c>
      <c r="Q22" s="14">
        <f>E22*0</f>
        <v/>
      </c>
    </row>
    <row r="23">
      <c r="B23" s="6">
        <f>'02_Volume_Price'!B22</f>
        <v/>
      </c>
      <c r="C23" s="6">
        <f>'02_Volume_Price'!C22</f>
        <v/>
      </c>
      <c r="D23" s="15">
        <f>'02_Volume_Price'!D22</f>
        <v/>
      </c>
      <c r="E23" s="15">
        <f>'02_Volume_Price'!E22</f>
        <v/>
      </c>
      <c r="F23" s="16">
        <f>'02_Volume_Price'!G22</f>
        <v/>
      </c>
      <c r="G23" s="16">
        <f>'02_Volume_Price'!H22</f>
        <v/>
      </c>
      <c r="H23" s="16">
        <f>'02_Volume_Price'!L22</f>
        <v/>
      </c>
      <c r="I23" s="14">
        <f>D23*F23</f>
        <v/>
      </c>
      <c r="J23" s="14">
        <f>E23*G23</f>
        <v/>
      </c>
      <c r="K23" s="14">
        <f>D23*(F23-H23)</f>
        <v/>
      </c>
      <c r="L23" s="14">
        <f>E23*(G23-H23)</f>
        <v/>
      </c>
      <c r="M23" s="14">
        <f>E23*F23</f>
        <v/>
      </c>
      <c r="N23" s="14">
        <f>E23*(F23-H23)</f>
        <v/>
      </c>
      <c r="O23" s="14">
        <f>E23*(G23-F23)</f>
        <v/>
      </c>
      <c r="P23" s="14">
        <f>E23*(G23-F23)</f>
        <v/>
      </c>
      <c r="Q23" s="14">
        <f>E23*0</f>
        <v/>
      </c>
    </row>
    <row r="24">
      <c r="B24" s="6">
        <f>'02_Volume_Price'!B23</f>
        <v/>
      </c>
      <c r="C24" s="6">
        <f>'02_Volume_Price'!C23</f>
        <v/>
      </c>
      <c r="D24" s="15">
        <f>'02_Volume_Price'!D23</f>
        <v/>
      </c>
      <c r="E24" s="15">
        <f>'02_Volume_Price'!E23</f>
        <v/>
      </c>
      <c r="F24" s="16">
        <f>'02_Volume_Price'!G23</f>
        <v/>
      </c>
      <c r="G24" s="16">
        <f>'02_Volume_Price'!H23</f>
        <v/>
      </c>
      <c r="H24" s="16">
        <f>'02_Volume_Price'!L23</f>
        <v/>
      </c>
      <c r="I24" s="14">
        <f>D24*F24</f>
        <v/>
      </c>
      <c r="J24" s="14">
        <f>E24*G24</f>
        <v/>
      </c>
      <c r="K24" s="14">
        <f>D24*(F24-H24)</f>
        <v/>
      </c>
      <c r="L24" s="14">
        <f>E24*(G24-H24)</f>
        <v/>
      </c>
      <c r="M24" s="14">
        <f>E24*F24</f>
        <v/>
      </c>
      <c r="N24" s="14">
        <f>E24*(F24-H24)</f>
        <v/>
      </c>
      <c r="O24" s="14">
        <f>E24*(G24-F24)</f>
        <v/>
      </c>
      <c r="P24" s="14">
        <f>E24*(G24-F24)</f>
        <v/>
      </c>
      <c r="Q24" s="14">
        <f>E24*0</f>
        <v/>
      </c>
    </row>
    <row r="25">
      <c r="B25" s="6">
        <f>'02_Volume_Price'!B24</f>
        <v/>
      </c>
      <c r="C25" s="6">
        <f>'02_Volume_Price'!C24</f>
        <v/>
      </c>
      <c r="D25" s="15">
        <f>'02_Volume_Price'!D24</f>
        <v/>
      </c>
      <c r="E25" s="15">
        <f>'02_Volume_Price'!E24</f>
        <v/>
      </c>
      <c r="F25" s="16">
        <f>'02_Volume_Price'!G24</f>
        <v/>
      </c>
      <c r="G25" s="16">
        <f>'02_Volume_Price'!H24</f>
        <v/>
      </c>
      <c r="H25" s="16">
        <f>'02_Volume_Price'!L24</f>
        <v/>
      </c>
      <c r="I25" s="14">
        <f>D25*F25</f>
        <v/>
      </c>
      <c r="J25" s="14">
        <f>E25*G25</f>
        <v/>
      </c>
      <c r="K25" s="14">
        <f>D25*(F25-H25)</f>
        <v/>
      </c>
      <c r="L25" s="14">
        <f>E25*(G25-H25)</f>
        <v/>
      </c>
      <c r="M25" s="14">
        <f>E25*F25</f>
        <v/>
      </c>
      <c r="N25" s="14">
        <f>E25*(F25-H25)</f>
        <v/>
      </c>
      <c r="O25" s="14">
        <f>E25*(G25-F25)</f>
        <v/>
      </c>
      <c r="P25" s="14">
        <f>E25*(G25-F25)</f>
        <v/>
      </c>
      <c r="Q25" s="14">
        <f>E25*0</f>
        <v/>
      </c>
    </row>
    <row r="26">
      <c r="B26" s="6">
        <f>'02_Volume_Price'!B25</f>
        <v/>
      </c>
      <c r="C26" s="6">
        <f>'02_Volume_Price'!C25</f>
        <v/>
      </c>
      <c r="D26" s="15">
        <f>'02_Volume_Price'!D25</f>
        <v/>
      </c>
      <c r="E26" s="15">
        <f>'02_Volume_Price'!E25</f>
        <v/>
      </c>
      <c r="F26" s="16">
        <f>'02_Volume_Price'!G25</f>
        <v/>
      </c>
      <c r="G26" s="16">
        <f>'02_Volume_Price'!H25</f>
        <v/>
      </c>
      <c r="H26" s="16">
        <f>'02_Volume_Price'!L25</f>
        <v/>
      </c>
      <c r="I26" s="14">
        <f>D26*F26</f>
        <v/>
      </c>
      <c r="J26" s="14">
        <f>E26*G26</f>
        <v/>
      </c>
      <c r="K26" s="14">
        <f>D26*(F26-H26)</f>
        <v/>
      </c>
      <c r="L26" s="14">
        <f>E26*(G26-H26)</f>
        <v/>
      </c>
      <c r="M26" s="14">
        <f>E26*F26</f>
        <v/>
      </c>
      <c r="N26" s="14">
        <f>E26*(F26-H26)</f>
        <v/>
      </c>
      <c r="O26" s="14">
        <f>E26*(G26-F26)</f>
        <v/>
      </c>
      <c r="P26" s="14">
        <f>E26*(G26-F26)</f>
        <v/>
      </c>
      <c r="Q26" s="14">
        <f>E26*0</f>
        <v/>
      </c>
    </row>
    <row r="27">
      <c r="B27" s="6">
        <f>'02_Volume_Price'!B26</f>
        <v/>
      </c>
      <c r="C27" s="6">
        <f>'02_Volume_Price'!C26</f>
        <v/>
      </c>
      <c r="D27" s="15">
        <f>'02_Volume_Price'!D26</f>
        <v/>
      </c>
      <c r="E27" s="15">
        <f>'02_Volume_Price'!E26</f>
        <v/>
      </c>
      <c r="F27" s="16">
        <f>'02_Volume_Price'!G26</f>
        <v/>
      </c>
      <c r="G27" s="16">
        <f>'02_Volume_Price'!H26</f>
        <v/>
      </c>
      <c r="H27" s="16">
        <f>'02_Volume_Price'!L26</f>
        <v/>
      </c>
      <c r="I27" s="14">
        <f>D27*F27</f>
        <v/>
      </c>
      <c r="J27" s="14">
        <f>E27*G27</f>
        <v/>
      </c>
      <c r="K27" s="14">
        <f>D27*(F27-H27)</f>
        <v/>
      </c>
      <c r="L27" s="14">
        <f>E27*(G27-H27)</f>
        <v/>
      </c>
      <c r="M27" s="14">
        <f>E27*F27</f>
        <v/>
      </c>
      <c r="N27" s="14">
        <f>E27*(F27-H27)</f>
        <v/>
      </c>
      <c r="O27" s="14">
        <f>E27*(G27-F27)</f>
        <v/>
      </c>
      <c r="P27" s="14">
        <f>E27*(G27-F27)</f>
        <v/>
      </c>
      <c r="Q27" s="14">
        <f>E27*0</f>
        <v/>
      </c>
    </row>
    <row r="28">
      <c r="B28" s="6">
        <f>'02_Volume_Price'!B27</f>
        <v/>
      </c>
      <c r="C28" s="6">
        <f>'02_Volume_Price'!C27</f>
        <v/>
      </c>
      <c r="D28" s="15">
        <f>'02_Volume_Price'!D27</f>
        <v/>
      </c>
      <c r="E28" s="15">
        <f>'02_Volume_Price'!E27</f>
        <v/>
      </c>
      <c r="F28" s="16">
        <f>'02_Volume_Price'!G27</f>
        <v/>
      </c>
      <c r="G28" s="16">
        <f>'02_Volume_Price'!H27</f>
        <v/>
      </c>
      <c r="H28" s="16">
        <f>'02_Volume_Price'!L27</f>
        <v/>
      </c>
      <c r="I28" s="14">
        <f>D28*F28</f>
        <v/>
      </c>
      <c r="J28" s="14">
        <f>E28*G28</f>
        <v/>
      </c>
      <c r="K28" s="14">
        <f>D28*(F28-H28)</f>
        <v/>
      </c>
      <c r="L28" s="14">
        <f>E28*(G28-H28)</f>
        <v/>
      </c>
      <c r="M28" s="14">
        <f>E28*F28</f>
        <v/>
      </c>
      <c r="N28" s="14">
        <f>E28*(F28-H28)</f>
        <v/>
      </c>
      <c r="O28" s="14">
        <f>E28*(G28-F28)</f>
        <v/>
      </c>
      <c r="P28" s="14">
        <f>E28*(G28-F28)</f>
        <v/>
      </c>
      <c r="Q28" s="14">
        <f>E28*0</f>
        <v/>
      </c>
    </row>
    <row r="29">
      <c r="B29" s="6">
        <f>'02_Volume_Price'!B28</f>
        <v/>
      </c>
      <c r="C29" s="6">
        <f>'02_Volume_Price'!C28</f>
        <v/>
      </c>
      <c r="D29" s="15">
        <f>'02_Volume_Price'!D28</f>
        <v/>
      </c>
      <c r="E29" s="15">
        <f>'02_Volume_Price'!E28</f>
        <v/>
      </c>
      <c r="F29" s="16">
        <f>'02_Volume_Price'!G28</f>
        <v/>
      </c>
      <c r="G29" s="16">
        <f>'02_Volume_Price'!H28</f>
        <v/>
      </c>
      <c r="H29" s="16">
        <f>'02_Volume_Price'!L28</f>
        <v/>
      </c>
      <c r="I29" s="14">
        <f>D29*F29</f>
        <v/>
      </c>
      <c r="J29" s="14">
        <f>E29*G29</f>
        <v/>
      </c>
      <c r="K29" s="14">
        <f>D29*(F29-H29)</f>
        <v/>
      </c>
      <c r="L29" s="14">
        <f>E29*(G29-H29)</f>
        <v/>
      </c>
      <c r="M29" s="14">
        <f>E29*F29</f>
        <v/>
      </c>
      <c r="N29" s="14">
        <f>E29*(F29-H29)</f>
        <v/>
      </c>
      <c r="O29" s="14">
        <f>E29*(G29-F29)</f>
        <v/>
      </c>
      <c r="P29" s="14">
        <f>E29*(G29-F29)</f>
        <v/>
      </c>
      <c r="Q29" s="14">
        <f>E29*0</f>
        <v/>
      </c>
    </row>
    <row r="30">
      <c r="B30" s="6">
        <f>'02_Volume_Price'!B29</f>
        <v/>
      </c>
      <c r="C30" s="6">
        <f>'02_Volume_Price'!C29</f>
        <v/>
      </c>
      <c r="D30" s="15">
        <f>'02_Volume_Price'!D29</f>
        <v/>
      </c>
      <c r="E30" s="15">
        <f>'02_Volume_Price'!E29</f>
        <v/>
      </c>
      <c r="F30" s="16">
        <f>'02_Volume_Price'!G29</f>
        <v/>
      </c>
      <c r="G30" s="16">
        <f>'02_Volume_Price'!H29</f>
        <v/>
      </c>
      <c r="H30" s="16">
        <f>'02_Volume_Price'!L29</f>
        <v/>
      </c>
      <c r="I30" s="14">
        <f>D30*F30</f>
        <v/>
      </c>
      <c r="J30" s="14">
        <f>E30*G30</f>
        <v/>
      </c>
      <c r="K30" s="14">
        <f>D30*(F30-H30)</f>
        <v/>
      </c>
      <c r="L30" s="14">
        <f>E30*(G30-H30)</f>
        <v/>
      </c>
      <c r="M30" s="14">
        <f>E30*F30</f>
        <v/>
      </c>
      <c r="N30" s="14">
        <f>E30*(F30-H30)</f>
        <v/>
      </c>
      <c r="O30" s="14">
        <f>E30*(G30-F30)</f>
        <v/>
      </c>
      <c r="P30" s="14">
        <f>E30*(G30-F30)</f>
        <v/>
      </c>
      <c r="Q30" s="14">
        <f>E30*0</f>
        <v/>
      </c>
    </row>
    <row r="31">
      <c r="B31" s="17" t="inlineStr">
        <is>
          <t>TOTAL</t>
        </is>
      </c>
      <c r="D31" s="13">
        <f>SUM(D7:D30)</f>
        <v/>
      </c>
      <c r="E31" s="13">
        <f>SUM(E7:E30)</f>
        <v/>
      </c>
      <c r="I31" s="18">
        <f>SUM(I7:I30)</f>
        <v/>
      </c>
      <c r="J31" s="18">
        <f>SUM(J7:J30)</f>
        <v/>
      </c>
      <c r="K31" s="18">
        <f>SUM(K7:K30)</f>
        <v/>
      </c>
      <c r="L31" s="18">
        <f>SUM(L7:L30)</f>
        <v/>
      </c>
      <c r="M31" s="18">
        <f>SUM(M7:M30)</f>
        <v/>
      </c>
      <c r="N31" s="18">
        <f>SUM(N7:N30)</f>
        <v/>
      </c>
      <c r="O31" s="18">
        <f>SUM(O7:O30)</f>
        <v/>
      </c>
      <c r="P31" s="18">
        <f>SUM(P7:P30)</f>
        <v/>
      </c>
      <c r="Q31" s="18">
        <f>SUM(Q7:Q30)</f>
        <v/>
      </c>
    </row>
    <row r="33">
      <c r="B33" s="2" t="inlineStr">
        <is>
          <t>B. Bridge math (totals)</t>
        </is>
      </c>
    </row>
    <row r="34">
      <c r="B34" t="inlineStr">
        <is>
          <t>Total V0</t>
        </is>
      </c>
      <c r="C34" s="15">
        <f>D31</f>
        <v/>
      </c>
    </row>
    <row r="35">
      <c r="B35" t="inlineStr">
        <is>
          <t>Total V1</t>
        </is>
      </c>
      <c r="C35" s="15">
        <f>E31</f>
        <v/>
      </c>
    </row>
    <row r="36">
      <c r="B36" t="inlineStr">
        <is>
          <t>Blended P0 (Rev0/V0)</t>
        </is>
      </c>
      <c r="C36" s="16">
        <f>IF(C34=0,0,I31/C34)</f>
        <v/>
      </c>
    </row>
    <row r="37">
      <c r="B37" t="inlineStr">
        <is>
          <t>Blended m0 (GM0/V0)</t>
        </is>
      </c>
      <c r="C37" s="16">
        <f>IF(C34=0,0,K31/C34)</f>
        <v/>
      </c>
    </row>
    <row r="39">
      <c r="B39" t="inlineStr">
        <is>
          <t>Volume effect — Revenue</t>
        </is>
      </c>
      <c r="C39" s="14">
        <f>(C35-C34)*C36</f>
        <v/>
      </c>
      <c r="D39" s="22" t="inlineStr">
        <is>
          <t>(V1−V0) × blended prior price</t>
        </is>
      </c>
    </row>
    <row r="40">
      <c r="B40" t="inlineStr">
        <is>
          <t>Price effect — Revenue</t>
        </is>
      </c>
      <c r="C40" s="14">
        <f>O31</f>
        <v/>
      </c>
      <c r="D40" s="22" t="inlineStr">
        <is>
          <t>Σ V1 × (P1−P0)</t>
        </is>
      </c>
    </row>
    <row r="41">
      <c r="B41" t="inlineStr">
        <is>
          <t>Mix effect — Revenue</t>
        </is>
      </c>
      <c r="C41" s="14">
        <f>M31-I31-C39</f>
        <v/>
      </c>
      <c r="D41" s="22" t="inlineStr">
        <is>
          <t>Σ V1×P0 − Rev0 − Volume effect</t>
        </is>
      </c>
    </row>
    <row r="42">
      <c r="B42" t="inlineStr">
        <is>
          <t>Check: Δ Revenue</t>
        </is>
      </c>
      <c r="C42" s="18">
        <f>J31-I31</f>
        <v/>
      </c>
    </row>
    <row r="43">
      <c r="B43" t="inlineStr">
        <is>
          <t>Check: Vol+Price+Mix</t>
        </is>
      </c>
      <c r="C43" s="18">
        <f>C39+C40+C41</f>
        <v/>
      </c>
    </row>
    <row r="45">
      <c r="B45" t="inlineStr">
        <is>
          <t>Volume effect — GM $</t>
        </is>
      </c>
      <c r="C45" s="14">
        <f>(C35-C34)*C37</f>
        <v/>
      </c>
      <c r="D45" s="22" t="inlineStr">
        <is>
          <t>(V1−V0) × blended prior margin/unit</t>
        </is>
      </c>
    </row>
    <row r="46">
      <c r="B46" t="inlineStr">
        <is>
          <t>Price effect — GM $</t>
        </is>
      </c>
      <c r="C46" s="14">
        <f>P31</f>
        <v/>
      </c>
      <c r="D46" s="22" t="inlineStr">
        <is>
          <t>Σ V1 × (P1−P0)  [COGS fixed → same as rev price]</t>
        </is>
      </c>
    </row>
    <row r="47">
      <c r="B47" t="inlineStr">
        <is>
          <t>Mix effect — GM $</t>
        </is>
      </c>
      <c r="C47" s="14">
        <f>N31-K31-C45</f>
        <v/>
      </c>
      <c r="D47" s="22" t="inlineStr">
        <is>
          <t>Σ V1×m0 − GM0 − Volume effect</t>
        </is>
      </c>
    </row>
    <row r="48">
      <c r="B48" t="inlineStr">
        <is>
          <t>Cost effect — GM $</t>
        </is>
      </c>
      <c r="C48" s="14">
        <f>Q31</f>
        <v/>
      </c>
      <c r="D48" s="22" t="inlineStr">
        <is>
          <t>Σ V1 × (C0−C1) ≈ 0 in this sample</t>
        </is>
      </c>
    </row>
    <row r="49">
      <c r="B49" t="inlineStr">
        <is>
          <t>Check: Δ GM $</t>
        </is>
      </c>
      <c r="C49" s="18">
        <f>L31-K31</f>
        <v/>
      </c>
    </row>
    <row r="50">
      <c r="B50" t="inlineStr">
        <is>
          <t>Check: Vol+Price+Mix+Cost</t>
        </is>
      </c>
      <c r="C50" s="18">
        <f>C45+C46+C47+C48</f>
        <v/>
      </c>
    </row>
    <row r="52">
      <c r="B52" s="2" t="inlineStr">
        <is>
          <t>C. Revenue bridge (prior → current)</t>
        </is>
      </c>
    </row>
    <row r="53">
      <c r="B53" s="10" t="inlineStr">
        <is>
          <t>Step</t>
        </is>
      </c>
      <c r="C53" s="10" t="inlineStr">
        <is>
          <t>$000s</t>
        </is>
      </c>
      <c r="D53" s="10" t="inlineStr">
        <is>
          <t>Notes</t>
        </is>
      </c>
    </row>
    <row r="54">
      <c r="B54" s="23" t="inlineStr">
        <is>
          <t>Prior Revenue</t>
        </is>
      </c>
      <c r="C54" s="24">
        <f>I31</f>
        <v/>
      </c>
      <c r="D54" s="22" t="inlineStr">
        <is>
          <t>Starting point</t>
        </is>
      </c>
    </row>
    <row r="55">
      <c r="B55" s="6" t="inlineStr">
        <is>
          <t>(+) Volume</t>
        </is>
      </c>
      <c r="C55" s="14">
        <f>C39</f>
        <v/>
      </c>
      <c r="D55" s="22" t="inlineStr">
        <is>
          <t>Units up at prior blended price</t>
        </is>
      </c>
    </row>
    <row r="56">
      <c r="B56" s="6" t="inlineStr">
        <is>
          <t>(+/-) Price</t>
        </is>
      </c>
      <c r="C56" s="14">
        <f>C40</f>
        <v/>
      </c>
      <c r="D56" s="22" t="inlineStr">
        <is>
          <t>Net price pressure on current volume</t>
        </is>
      </c>
    </row>
    <row r="57">
      <c r="B57" s="6" t="inlineStr">
        <is>
          <t>(+/-) Mix</t>
        </is>
      </c>
      <c r="C57" s="14">
        <f>C41</f>
        <v/>
      </c>
      <c r="D57" s="22" t="inlineStr">
        <is>
          <t>Shift toward lower-price Club / Multipack</t>
        </is>
      </c>
    </row>
    <row r="58">
      <c r="B58" s="23" t="inlineStr">
        <is>
          <t>Current Revenue</t>
        </is>
      </c>
      <c r="C58" s="24">
        <f>J31</f>
        <v/>
      </c>
      <c r="D58" s="22" t="inlineStr">
        <is>
          <t>Prior + Volume + Price + Mix</t>
        </is>
      </c>
    </row>
    <row r="60">
      <c r="B60" s="2" t="inlineStr">
        <is>
          <t>D. Gross margin $ bridge (prior → current)</t>
        </is>
      </c>
    </row>
    <row r="61">
      <c r="B61" s="10" t="inlineStr">
        <is>
          <t>Step</t>
        </is>
      </c>
      <c r="C61" s="10" t="inlineStr">
        <is>
          <t>$000s</t>
        </is>
      </c>
      <c r="D61" s="10" t="inlineStr">
        <is>
          <t>Notes</t>
        </is>
      </c>
    </row>
    <row r="62">
      <c r="B62" s="23" t="inlineStr">
        <is>
          <t>Prior GM $</t>
        </is>
      </c>
      <c r="C62" s="24">
        <f>K31</f>
        <v/>
      </c>
      <c r="D62" s="22" t="inlineStr">
        <is>
          <t>Starting gross margin dollars</t>
        </is>
      </c>
    </row>
    <row r="63">
      <c r="B63" s="6" t="inlineStr">
        <is>
          <t>(+) Volume</t>
        </is>
      </c>
      <c r="C63" s="14">
        <f>C45</f>
        <v/>
      </c>
      <c r="D63" s="22" t="inlineStr">
        <is>
          <t>More units at prior blended margin/unit</t>
        </is>
      </c>
    </row>
    <row r="64">
      <c r="B64" s="6" t="inlineStr">
        <is>
          <t>(+/-) Price</t>
        </is>
      </c>
      <c r="C64" s="14">
        <f>C46</f>
        <v/>
      </c>
      <c r="D64" s="22" t="inlineStr">
        <is>
          <t>Lower net realized price</t>
        </is>
      </c>
    </row>
    <row r="65">
      <c r="B65" s="6" t="inlineStr">
        <is>
          <t>(+/-) Mix</t>
        </is>
      </c>
      <c r="C65" s="14">
        <f>C47</f>
        <v/>
      </c>
      <c r="D65" s="22" t="inlineStr">
        <is>
          <t>Club &amp; Multipack mix dilutes margin</t>
        </is>
      </c>
    </row>
    <row r="66">
      <c r="B66" s="6" t="inlineStr">
        <is>
          <t>(+/-) Cost</t>
        </is>
      </c>
      <c r="C66" s="14">
        <f>C48</f>
        <v/>
      </c>
      <c r="D66" s="22" t="inlineStr">
        <is>
          <t>Std COGS/unit unchanged → ~0</t>
        </is>
      </c>
    </row>
    <row r="67">
      <c r="B67" s="23" t="inlineStr">
        <is>
          <t>Current GM $</t>
        </is>
      </c>
      <c r="C67" s="24">
        <f>L31</f>
        <v/>
      </c>
      <c r="D67" s="22" t="inlineStr">
        <is>
          <t>Prior + Volume + Price + Mix + Cost</t>
        </is>
      </c>
    </row>
    <row r="70">
      <c r="B70" s="2" t="inlineStr">
        <is>
          <t>E. Margin rate</t>
        </is>
      </c>
    </row>
    <row r="71">
      <c r="B71" t="inlineStr">
        <is>
          <t>GM % Prior</t>
        </is>
      </c>
      <c r="C71" s="20">
        <f>IF(I31=0,0,K31/I31)</f>
        <v/>
      </c>
    </row>
    <row r="72">
      <c r="B72" t="inlineStr">
        <is>
          <t>GM % Curr</t>
        </is>
      </c>
      <c r="C72" s="20">
        <f>IF(J31=0,0,L31/J31)</f>
        <v/>
      </c>
    </row>
    <row r="73">
      <c r="B73" t="inlineStr">
        <is>
          <t>Δ GM pts</t>
        </is>
      </c>
      <c r="C73" s="19">
        <f>C72-C71</f>
        <v/>
      </c>
    </row>
    <row r="75" ht="48" customHeight="1">
      <c r="B75" s="21" t="inlineStr">
        <is>
          <t>Interpretation: Volume contributes positively to GM$, but Mix (Club channel share + Multipack Snacks) and Price (Grocery/Mass net price) more than offset — overall GM$ and GM% decline vs prior even though units are higher.</t>
        </is>
      </c>
    </row>
    <row r="77">
      <c r="B77" s="2" t="inlineStr">
        <is>
          <t>Chart source — GM walk steps</t>
        </is>
      </c>
    </row>
    <row r="78">
      <c r="B78" s="10" t="inlineStr">
        <is>
          <t>Step</t>
        </is>
      </c>
      <c r="C78" s="10" t="inlineStr">
        <is>
          <t>$000s</t>
        </is>
      </c>
    </row>
    <row r="79">
      <c r="B79" s="6" t="inlineStr">
        <is>
          <t>Prior GM</t>
        </is>
      </c>
      <c r="C79" s="14">
        <f>C62</f>
        <v/>
      </c>
    </row>
    <row r="80">
      <c r="B80" s="6" t="inlineStr">
        <is>
          <t>Volume</t>
        </is>
      </c>
      <c r="C80" s="14">
        <f>C63</f>
        <v/>
      </c>
    </row>
    <row r="81">
      <c r="B81" s="6" t="inlineStr">
        <is>
          <t>Price</t>
        </is>
      </c>
      <c r="C81" s="14">
        <f>C64</f>
        <v/>
      </c>
    </row>
    <row r="82">
      <c r="B82" s="6" t="inlineStr">
        <is>
          <t>Mix</t>
        </is>
      </c>
      <c r="C82" s="14">
        <f>C65</f>
        <v/>
      </c>
    </row>
    <row r="83">
      <c r="B83" s="6" t="inlineStr">
        <is>
          <t>Cost</t>
        </is>
      </c>
      <c r="C83" s="14">
        <f>C66</f>
        <v/>
      </c>
    </row>
    <row r="84">
      <c r="B84" s="6" t="inlineStr">
        <is>
          <t>Current GM</t>
        </is>
      </c>
      <c r="C84" s="14">
        <f>C67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2">
      <c r="B2" s="1" t="inlineStr">
        <is>
          <t>Contribution Margin by SKU &amp; Channel</t>
        </is>
      </c>
    </row>
    <row r="3">
      <c r="B3" s="7" t="inlineStr">
        <is>
          <t>Contribution = Net revenue − Std COGS. Mix % of volume and revenue for prior and current.</t>
        </is>
      </c>
    </row>
    <row r="5">
      <c r="B5" s="2" t="inlineStr">
        <is>
          <t>By SKU (current period focus)</t>
        </is>
      </c>
    </row>
    <row r="6" ht="30" customHeight="1">
      <c r="B6" s="10" t="inlineStr">
        <is>
          <t>SKU</t>
        </is>
      </c>
      <c r="C6" s="10" t="inlineStr">
        <is>
          <t>Vol Curr</t>
        </is>
      </c>
      <c r="D6" s="10" t="inlineStr">
        <is>
          <t>Vol Mix %</t>
        </is>
      </c>
      <c r="E6" s="10" t="inlineStr">
        <is>
          <t>Rev Curr $000</t>
        </is>
      </c>
      <c r="F6" s="10" t="inlineStr">
        <is>
          <t>Rev Mix %</t>
        </is>
      </c>
      <c r="G6" s="10" t="inlineStr">
        <is>
          <t>GM Curr $000</t>
        </is>
      </c>
      <c r="H6" s="10" t="inlineStr">
        <is>
          <t>GM Mix %</t>
        </is>
      </c>
      <c r="I6" s="10" t="inlineStr">
        <is>
          <t>GM %</t>
        </is>
      </c>
      <c r="J6" s="10" t="inlineStr">
        <is>
          <t>Δ Vol vs Prior</t>
        </is>
      </c>
      <c r="K6" s="10" t="inlineStr">
        <is>
          <t>Δ GM $ vs Prior</t>
        </is>
      </c>
    </row>
    <row r="7">
      <c r="B7" s="6" t="inlineStr">
        <is>
          <t>Sparkle Water 12pk</t>
        </is>
      </c>
      <c r="C7" s="15">
        <f>'02_Volume_Price'!D35</f>
        <v/>
      </c>
      <c r="D7" s="19">
        <f>C7/$C$13</f>
        <v/>
      </c>
      <c r="E7" s="14">
        <f>'02_Volume_Price'!F35</f>
        <v/>
      </c>
      <c r="F7" s="19">
        <f>E7/$E$13</f>
        <v/>
      </c>
      <c r="G7" s="14">
        <f>'02_Volume_Price'!H35</f>
        <v/>
      </c>
      <c r="H7" s="19">
        <f>G7/$G$13</f>
        <v/>
      </c>
      <c r="I7" s="19">
        <f>'02_Volume_Price'!J35</f>
        <v/>
      </c>
      <c r="J7" s="15">
        <f>'02_Volume_Price'!D35-'02_Volume_Price'!C35</f>
        <v/>
      </c>
      <c r="K7" s="14">
        <f>'02_Volume_Price'!H35-'02_Volume_Price'!G35</f>
        <v/>
      </c>
    </row>
    <row r="8">
      <c r="B8" s="6" t="inlineStr">
        <is>
          <t>Protein Bar 12ct</t>
        </is>
      </c>
      <c r="C8" s="15">
        <f>'02_Volume_Price'!D36</f>
        <v/>
      </c>
      <c r="D8" s="19">
        <f>C8/$C$13</f>
        <v/>
      </c>
      <c r="E8" s="14">
        <f>'02_Volume_Price'!F36</f>
        <v/>
      </c>
      <c r="F8" s="19">
        <f>E8/$E$13</f>
        <v/>
      </c>
      <c r="G8" s="14">
        <f>'02_Volume_Price'!H36</f>
        <v/>
      </c>
      <c r="H8" s="19">
        <f>G8/$G$13</f>
        <v/>
      </c>
      <c r="I8" s="19">
        <f>'02_Volume_Price'!J36</f>
        <v/>
      </c>
      <c r="J8" s="15">
        <f>'02_Volume_Price'!D36-'02_Volume_Price'!C36</f>
        <v/>
      </c>
      <c r="K8" s="14">
        <f>'02_Volume_Price'!H36-'02_Volume_Price'!G36</f>
        <v/>
      </c>
    </row>
    <row r="9">
      <c r="B9" s="6" t="inlineStr">
        <is>
          <t>Crunch Chips Family</t>
        </is>
      </c>
      <c r="C9" s="15">
        <f>'02_Volume_Price'!D37</f>
        <v/>
      </c>
      <c r="D9" s="19">
        <f>C9/$C$13</f>
        <v/>
      </c>
      <c r="E9" s="14">
        <f>'02_Volume_Price'!F37</f>
        <v/>
      </c>
      <c r="F9" s="19">
        <f>E9/$E$13</f>
        <v/>
      </c>
      <c r="G9" s="14">
        <f>'02_Volume_Price'!H37</f>
        <v/>
      </c>
      <c r="H9" s="19">
        <f>G9/$G$13</f>
        <v/>
      </c>
      <c r="I9" s="19">
        <f>'02_Volume_Price'!J37</f>
        <v/>
      </c>
      <c r="J9" s="15">
        <f>'02_Volume_Price'!D37-'02_Volume_Price'!C37</f>
        <v/>
      </c>
      <c r="K9" s="14">
        <f>'02_Volume_Price'!H37-'02_Volume_Price'!G37</f>
        <v/>
      </c>
    </row>
    <row r="10">
      <c r="B10" s="6" t="inlineStr">
        <is>
          <t>Clean Wipe Refill</t>
        </is>
      </c>
      <c r="C10" s="15">
        <f>'02_Volume_Price'!D38</f>
        <v/>
      </c>
      <c r="D10" s="19">
        <f>C10/$C$13</f>
        <v/>
      </c>
      <c r="E10" s="14">
        <f>'02_Volume_Price'!F38</f>
        <v/>
      </c>
      <c r="F10" s="19">
        <f>E10/$E$13</f>
        <v/>
      </c>
      <c r="G10" s="14">
        <f>'02_Volume_Price'!H38</f>
        <v/>
      </c>
      <c r="H10" s="19">
        <f>G10/$G$13</f>
        <v/>
      </c>
      <c r="I10" s="19">
        <f>'02_Volume_Price'!J38</f>
        <v/>
      </c>
      <c r="J10" s="15">
        <f>'02_Volume_Price'!D38-'02_Volume_Price'!C38</f>
        <v/>
      </c>
      <c r="K10" s="14">
        <f>'02_Volume_Price'!H38-'02_Volume_Price'!G38</f>
        <v/>
      </c>
    </row>
    <row r="11">
      <c r="B11" s="6" t="inlineStr">
        <is>
          <t>SoftSoap 3pk</t>
        </is>
      </c>
      <c r="C11" s="15">
        <f>'02_Volume_Price'!D39</f>
        <v/>
      </c>
      <c r="D11" s="19">
        <f>C11/$C$13</f>
        <v/>
      </c>
      <c r="E11" s="14">
        <f>'02_Volume_Price'!F39</f>
        <v/>
      </c>
      <c r="F11" s="19">
        <f>E11/$E$13</f>
        <v/>
      </c>
      <c r="G11" s="14">
        <f>'02_Volume_Price'!H39</f>
        <v/>
      </c>
      <c r="H11" s="19">
        <f>G11/$G$13</f>
        <v/>
      </c>
      <c r="I11" s="19">
        <f>'02_Volume_Price'!J39</f>
        <v/>
      </c>
      <c r="J11" s="15">
        <f>'02_Volume_Price'!D39-'02_Volume_Price'!C39</f>
        <v/>
      </c>
      <c r="K11" s="14">
        <f>'02_Volume_Price'!H39-'02_Volume_Price'!G39</f>
        <v/>
      </c>
    </row>
    <row r="12">
      <c r="B12" s="6" t="inlineStr">
        <is>
          <t>Multipack Snacks</t>
        </is>
      </c>
      <c r="C12" s="15">
        <f>'02_Volume_Price'!D40</f>
        <v/>
      </c>
      <c r="D12" s="19">
        <f>C12/$C$13</f>
        <v/>
      </c>
      <c r="E12" s="14">
        <f>'02_Volume_Price'!F40</f>
        <v/>
      </c>
      <c r="F12" s="19">
        <f>E12/$E$13</f>
        <v/>
      </c>
      <c r="G12" s="14">
        <f>'02_Volume_Price'!H40</f>
        <v/>
      </c>
      <c r="H12" s="19">
        <f>G12/$G$13</f>
        <v/>
      </c>
      <c r="I12" s="19">
        <f>'02_Volume_Price'!J40</f>
        <v/>
      </c>
      <c r="J12" s="15">
        <f>'02_Volume_Price'!D40-'02_Volume_Price'!C40</f>
        <v/>
      </c>
      <c r="K12" s="14">
        <f>'02_Volume_Price'!H40-'02_Volume_Price'!G40</f>
        <v/>
      </c>
    </row>
    <row r="13">
      <c r="B13" s="17" t="inlineStr">
        <is>
          <t>Total</t>
        </is>
      </c>
      <c r="C13" s="13">
        <f>SUM(C7:C12)</f>
        <v/>
      </c>
      <c r="D13" s="20">
        <f>1</f>
        <v/>
      </c>
      <c r="E13" s="18">
        <f>SUM(E7:E12)</f>
        <v/>
      </c>
      <c r="F13" s="20">
        <f>1</f>
        <v/>
      </c>
      <c r="G13" s="18">
        <f>SUM(G7:G12)</f>
        <v/>
      </c>
      <c r="H13" s="20">
        <f>1</f>
        <v/>
      </c>
      <c r="I13" s="20">
        <f>IF(E13=0,0,G13/E13)</f>
        <v/>
      </c>
      <c r="J13" s="13">
        <f>SUM(J7:J12)</f>
        <v/>
      </c>
      <c r="K13" s="18">
        <f>SUM(K7:K12)</f>
        <v/>
      </c>
    </row>
    <row r="15">
      <c r="B15" s="2" t="inlineStr">
        <is>
          <t>By Channel</t>
        </is>
      </c>
    </row>
    <row r="16">
      <c r="B16" s="10" t="inlineStr">
        <is>
          <t>Channel</t>
        </is>
      </c>
      <c r="C16" s="10" t="inlineStr">
        <is>
          <t>Vol Curr</t>
        </is>
      </c>
      <c r="D16" s="10" t="inlineStr">
        <is>
          <t>Vol Mix %</t>
        </is>
      </c>
      <c r="E16" s="10" t="inlineStr">
        <is>
          <t>Rev Curr $000</t>
        </is>
      </c>
      <c r="F16" s="10" t="inlineStr">
        <is>
          <t>Rev Mix %</t>
        </is>
      </c>
      <c r="G16" s="10" t="inlineStr">
        <is>
          <t>GM Curr $000</t>
        </is>
      </c>
      <c r="H16" s="10" t="inlineStr">
        <is>
          <t>CM $/unit</t>
        </is>
      </c>
      <c r="I16" s="10" t="inlineStr">
        <is>
          <t>GM %</t>
        </is>
      </c>
      <c r="J16" s="10" t="inlineStr">
        <is>
          <t>Vol Mix Δ pts</t>
        </is>
      </c>
      <c r="K16" s="10" t="inlineStr">
        <is>
          <t>Callout</t>
        </is>
      </c>
    </row>
    <row r="17">
      <c r="B17" s="6" t="inlineStr">
        <is>
          <t>Grocery</t>
        </is>
      </c>
      <c r="C17" s="15">
        <f>'02_Volume_Price'!D46</f>
        <v/>
      </c>
      <c r="D17" s="19">
        <f>C17/$C$21</f>
        <v/>
      </c>
      <c r="E17" s="14">
        <f>'02_Volume_Price'!F46</f>
        <v/>
      </c>
      <c r="F17" s="19">
        <f>E17/$E$21</f>
        <v/>
      </c>
      <c r="G17" s="14">
        <f>'02_Volume_Price'!H46</f>
        <v/>
      </c>
      <c r="H17" s="16">
        <f>IF(C17=0,0,G17/C17)</f>
        <v/>
      </c>
      <c r="I17" s="19">
        <f>'02_Volume_Price'!J46</f>
        <v/>
      </c>
      <c r="J17" s="19">
        <f>'02_Volume_Price'!L46-'02_Volume_Price'!K46</f>
        <v/>
      </c>
      <c r="K17" s="6" t="inlineStr">
        <is>
          <t>Highest margin channel; share down</t>
        </is>
      </c>
    </row>
    <row r="18">
      <c r="B18" s="6" t="inlineStr">
        <is>
          <t>Mass</t>
        </is>
      </c>
      <c r="C18" s="15">
        <f>'02_Volume_Price'!D47</f>
        <v/>
      </c>
      <c r="D18" s="19">
        <f>C18/$C$21</f>
        <v/>
      </c>
      <c r="E18" s="14">
        <f>'02_Volume_Price'!F47</f>
        <v/>
      </c>
      <c r="F18" s="19">
        <f>E18/$E$21</f>
        <v/>
      </c>
      <c r="G18" s="14">
        <f>'02_Volume_Price'!H47</f>
        <v/>
      </c>
      <c r="H18" s="16">
        <f>IF(C18=0,0,G18/C18)</f>
        <v/>
      </c>
      <c r="I18" s="19">
        <f>'02_Volume_Price'!J47</f>
        <v/>
      </c>
      <c r="J18" s="19">
        <f>'02_Volume_Price'!L47-'02_Volume_Price'!K47</f>
        <v/>
      </c>
      <c r="K18" s="6" t="inlineStr">
        <is>
          <t>Mid margin; mild share dip</t>
        </is>
      </c>
    </row>
    <row r="19">
      <c r="B19" s="6" t="inlineStr">
        <is>
          <t>Club</t>
        </is>
      </c>
      <c r="C19" s="15">
        <f>'02_Volume_Price'!D48</f>
        <v/>
      </c>
      <c r="D19" s="19">
        <f>C19/$C$21</f>
        <v/>
      </c>
      <c r="E19" s="14">
        <f>'02_Volume_Price'!F48</f>
        <v/>
      </c>
      <c r="F19" s="19">
        <f>E19/$E$21</f>
        <v/>
      </c>
      <c r="G19" s="14">
        <f>'02_Volume_Price'!H48</f>
        <v/>
      </c>
      <c r="H19" s="16">
        <f>IF(C19=0,0,G19/C19)</f>
        <v/>
      </c>
      <c r="I19" s="19">
        <f>'02_Volume_Price'!J48</f>
        <v/>
      </c>
      <c r="J19" s="19">
        <f>'02_Volume_Price'!L48-'02_Volume_Price'!K48</f>
        <v/>
      </c>
      <c r="K19" s="6" t="inlineStr">
        <is>
          <t>Mix headwind — share up, thin CM</t>
        </is>
      </c>
    </row>
    <row r="20">
      <c r="B20" s="6" t="inlineStr">
        <is>
          <t>E-comm</t>
        </is>
      </c>
      <c r="C20" s="15">
        <f>'02_Volume_Price'!D49</f>
        <v/>
      </c>
      <c r="D20" s="19">
        <f>C20/$C$21</f>
        <v/>
      </c>
      <c r="E20" s="14">
        <f>'02_Volume_Price'!F49</f>
        <v/>
      </c>
      <c r="F20" s="19">
        <f>E20/$E$21</f>
        <v/>
      </c>
      <c r="G20" s="14">
        <f>'02_Volume_Price'!H49</f>
        <v/>
      </c>
      <c r="H20" s="16">
        <f>IF(C20=0,0,G20/C20)</f>
        <v/>
      </c>
      <c r="I20" s="19">
        <f>'02_Volume_Price'!J49</f>
        <v/>
      </c>
      <c r="J20" s="19">
        <f>'02_Volume_Price'!L49-'02_Volume_Price'!K49</f>
        <v/>
      </c>
      <c r="K20" s="6" t="inlineStr">
        <is>
          <t>Premium price; growing share</t>
        </is>
      </c>
    </row>
    <row r="21">
      <c r="B21" s="17" t="inlineStr">
        <is>
          <t>Total</t>
        </is>
      </c>
      <c r="C21" s="13">
        <f>SUM(C17:C20)</f>
        <v/>
      </c>
      <c r="D21" s="20">
        <f>1</f>
        <v/>
      </c>
      <c r="E21" s="18">
        <f>SUM(E17:E20)</f>
        <v/>
      </c>
      <c r="F21" s="20">
        <f>1</f>
        <v/>
      </c>
      <c r="G21" s="18">
        <f>SUM(G17:G20)</f>
        <v/>
      </c>
      <c r="H21" s="25">
        <f>IF(C21=0,0,G21/C21)</f>
        <v/>
      </c>
      <c r="I21" s="20">
        <f>IF(E21=0,0,G21/E21)</f>
        <v/>
      </c>
      <c r="J21" s="20">
        <f>0</f>
        <v/>
      </c>
    </row>
    <row r="23">
      <c r="B23" s="2" t="inlineStr">
        <is>
          <t>Contribution insight</t>
        </is>
      </c>
    </row>
    <row r="24" ht="48" customHeight="1">
      <c r="B24" s="3" t="inlineStr">
        <is>
          <t>Club volume mix rises while CM $/unit stays the lowest of the four channels. Multipack Snacks (Club-heavy) also gains share at thin margin. Net: positive volume on the GM bridge, negative mix — classic CPG dilution when club packs outgrow core.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3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8" customWidth="1" min="8" max="8"/>
  </cols>
  <sheetData>
    <row r="2">
      <c r="B2" s="1" t="inlineStr">
        <is>
          <t>Margin &amp; Mix Dashboard</t>
        </is>
      </c>
    </row>
    <row r="3">
      <c r="B3" s="26">
        <f>"Close: "&amp;'01_Assumptions'!C5</f>
        <v/>
      </c>
    </row>
    <row r="5">
      <c r="B5" s="2" t="inlineStr">
        <is>
          <t>Headline KPIs</t>
        </is>
      </c>
      <c r="E5" s="2" t="inlineStr">
        <is>
          <t>Gross margin $ walk</t>
        </is>
      </c>
    </row>
    <row r="6">
      <c r="B6" s="10" t="inlineStr">
        <is>
          <t>Metric</t>
        </is>
      </c>
      <c r="C6" s="10" t="inlineStr">
        <is>
          <t>Value</t>
        </is>
      </c>
      <c r="E6" s="10" t="inlineStr">
        <is>
          <t>Step</t>
        </is>
      </c>
      <c r="F6" s="10" t="inlineStr">
        <is>
          <t>$000s</t>
        </is>
      </c>
    </row>
    <row r="7">
      <c r="B7" s="27" t="inlineStr">
        <is>
          <t>Vol Prior (000)</t>
        </is>
      </c>
      <c r="C7" s="28">
        <f>'03_PVM_Bridge'!C34</f>
        <v/>
      </c>
      <c r="E7" s="23" t="inlineStr">
        <is>
          <t>Prior GM</t>
        </is>
      </c>
      <c r="F7" s="24">
        <f>'03_PVM_Bridge'!C62</f>
        <v/>
      </c>
    </row>
    <row r="8">
      <c r="B8" s="27" t="inlineStr">
        <is>
          <t>Vol Curr (000)</t>
        </is>
      </c>
      <c r="C8" s="28">
        <f>'03_PVM_Bridge'!C35</f>
        <v/>
      </c>
      <c r="E8" s="6" t="inlineStr">
        <is>
          <t>Volume</t>
        </is>
      </c>
      <c r="F8" s="14">
        <f>'03_PVM_Bridge'!C63</f>
        <v/>
      </c>
    </row>
    <row r="9">
      <c r="B9" s="27" t="inlineStr">
        <is>
          <t>Δ Volume</t>
        </is>
      </c>
      <c r="C9" s="28">
        <f>'03_PVM_Bridge'!C35-'03_PVM_Bridge'!C34</f>
        <v/>
      </c>
      <c r="E9" s="6" t="inlineStr">
        <is>
          <t>Price</t>
        </is>
      </c>
      <c r="F9" s="14">
        <f>'03_PVM_Bridge'!C64</f>
        <v/>
      </c>
    </row>
    <row r="10">
      <c r="B10" s="27" t="inlineStr">
        <is>
          <t>Rev Prior $000</t>
        </is>
      </c>
      <c r="C10" s="29">
        <f>'03_PVM_Bridge'!I31</f>
        <v/>
      </c>
      <c r="E10" s="6" t="inlineStr">
        <is>
          <t>Mix</t>
        </is>
      </c>
      <c r="F10" s="14">
        <f>'03_PVM_Bridge'!C65</f>
        <v/>
      </c>
    </row>
    <row r="11">
      <c r="B11" s="27" t="inlineStr">
        <is>
          <t>Rev Curr $000</t>
        </is>
      </c>
      <c r="C11" s="29">
        <f>'03_PVM_Bridge'!J31</f>
        <v/>
      </c>
      <c r="E11" s="6" t="inlineStr">
        <is>
          <t>Cost</t>
        </is>
      </c>
      <c r="F11" s="14">
        <f>'03_PVM_Bridge'!C66</f>
        <v/>
      </c>
    </row>
    <row r="12">
      <c r="B12" s="27" t="inlineStr">
        <is>
          <t>GM Prior $000</t>
        </is>
      </c>
      <c r="C12" s="29">
        <f>'03_PVM_Bridge'!K31</f>
        <v/>
      </c>
      <c r="E12" s="23" t="inlineStr">
        <is>
          <t>Current GM</t>
        </is>
      </c>
      <c r="F12" s="24">
        <f>'03_PVM_Bridge'!C67</f>
        <v/>
      </c>
    </row>
    <row r="13">
      <c r="B13" s="27" t="inlineStr">
        <is>
          <t>GM Curr $000</t>
        </is>
      </c>
      <c r="C13" s="29">
        <f>'03_PVM_Bridge'!L31</f>
        <v/>
      </c>
    </row>
    <row r="14">
      <c r="B14" s="27" t="inlineStr">
        <is>
          <t>GM % Prior</t>
        </is>
      </c>
      <c r="C14" s="30">
        <f>'03_PVM_Bridge'!C71</f>
        <v/>
      </c>
    </row>
    <row r="15">
      <c r="B15" s="27" t="inlineStr">
        <is>
          <t>GM % Curr</t>
        </is>
      </c>
      <c r="C15" s="30">
        <f>'03_PVM_Bridge'!C72</f>
        <v/>
      </c>
    </row>
    <row r="16">
      <c r="B16" s="27" t="inlineStr">
        <is>
          <t>Δ GM pts</t>
        </is>
      </c>
      <c r="C16" s="30">
        <f>'03_PVM_Bridge'!C73</f>
        <v/>
      </c>
    </row>
    <row r="18">
      <c r="B18" s="2" t="inlineStr">
        <is>
          <t>RAG — Gross margin %</t>
        </is>
      </c>
    </row>
    <row r="19">
      <c r="B19" t="inlineStr">
        <is>
          <t>Target GM %</t>
        </is>
      </c>
      <c r="C19" s="31" t="n">
        <v>0.54</v>
      </c>
    </row>
    <row r="20">
      <c r="B20" t="inlineStr">
        <is>
          <t>Actual GM % (curr)</t>
        </is>
      </c>
      <c r="C20" s="20">
        <f>'03_PVM_Bridge'!C72</f>
        <v/>
      </c>
    </row>
    <row r="21">
      <c r="B21" t="inlineStr">
        <is>
          <t>Status</t>
        </is>
      </c>
      <c r="C21" s="32">
        <f>IF(C20&gt;=C19,"GREEN",IF(C20&gt;=C19-0.02,"AMBER","RED"))</f>
        <v/>
      </c>
    </row>
    <row r="23">
      <c r="B23" s="2" t="inlineStr">
        <is>
          <t>Top mix-shift callouts</t>
        </is>
      </c>
    </row>
    <row r="24">
      <c r="B24" s="10" t="inlineStr">
        <is>
          <t>Callout</t>
        </is>
      </c>
      <c r="C24" s="10" t="inlineStr">
        <is>
          <t>Signal</t>
        </is>
      </c>
    </row>
    <row r="25">
      <c r="B25" s="17" t="inlineStr">
        <is>
          <t>Club vol mix ↑</t>
        </is>
      </c>
      <c r="C25" s="6" t="inlineStr">
        <is>
          <t>Lower CM $/unit channel gaining share → mix headwind on GM$</t>
        </is>
      </c>
      <c r="D25" s="33" t="n"/>
      <c r="E25" s="33" t="n"/>
      <c r="F25" s="33" t="n"/>
      <c r="G25" s="34" t="n"/>
    </row>
    <row r="26">
      <c r="B26" s="17" t="inlineStr">
        <is>
          <t>Multipack Snacks ↑</t>
        </is>
      </c>
      <c r="C26" s="6" t="inlineStr">
        <is>
          <t>Club-oriented SKU grows fastest; thin contribution</t>
        </is>
      </c>
      <c r="D26" s="33" t="n"/>
      <c r="E26" s="33" t="n"/>
      <c r="F26" s="33" t="n"/>
      <c r="G26" s="34" t="n"/>
    </row>
    <row r="27">
      <c r="B27" s="17" t="inlineStr">
        <is>
          <t>Grocery vol soft</t>
        </is>
      </c>
      <c r="C27" s="6" t="inlineStr">
        <is>
          <t>Highest-price channel loses units → adverse mix &amp; price</t>
        </is>
      </c>
      <c r="D27" s="33" t="n"/>
      <c r="E27" s="33" t="n"/>
      <c r="F27" s="33" t="n"/>
      <c r="G27" s="34" t="n"/>
    </row>
    <row r="28">
      <c r="B28" s="17" t="inlineStr">
        <is>
          <t>Price (Groc/Mass)</t>
        </is>
      </c>
      <c r="C28" s="6" t="inlineStr">
        <is>
          <t>Net price down ~$0.10–0.20/unit on core channels</t>
        </is>
      </c>
      <c r="D28" s="33" t="n"/>
      <c r="E28" s="33" t="n"/>
      <c r="F28" s="33" t="n"/>
      <c r="G28" s="34" t="n"/>
    </row>
    <row r="29">
      <c r="B29" s="17" t="inlineStr">
        <is>
          <t>Volume overall ↑</t>
        </is>
      </c>
      <c r="C29" s="6" t="inlineStr">
        <is>
          <t>Units up, but not enough to offset mix + price on GM$</t>
        </is>
      </c>
      <c r="D29" s="33" t="n"/>
      <c r="E29" s="33" t="n"/>
      <c r="F29" s="33" t="n"/>
      <c r="G29" s="34" t="n"/>
    </row>
    <row r="31">
      <c r="B31" s="2" t="inlineStr">
        <is>
          <t>Leadership read</t>
        </is>
      </c>
    </row>
    <row r="32" ht="20" customHeight="1">
      <c r="B32" s="3" t="inlineStr">
        <is>
          <t>Volume is up, but gross margin dollars and margin rate are down. The bridge pins the miss on Mix (Club / Multipack) and Price — not cost. Action lens: protect Grocery/Mass net price, rebalance Club pack architecture, or raise Club list to defend contribution.</t>
        </is>
      </c>
    </row>
    <row r="33"/>
    <row r="34"/>
  </sheetData>
  <mergeCells count="6">
    <mergeCell ref="C29:G29"/>
    <mergeCell ref="B32:G34"/>
    <mergeCell ref="C28:G28"/>
    <mergeCell ref="C25:G25"/>
    <mergeCell ref="C27:G27"/>
    <mergeCell ref="C26:G26"/>
  </mergeCells>
  <conditionalFormatting sqref="C21">
    <cfRule type="expression" priority="1" dxfId="0">
      <formula>$C$21="GREEN"</formula>
    </cfRule>
    <cfRule type="expression" priority="2" dxfId="1">
      <formula>$C$21="AMBER"</formula>
    </cfRule>
    <cfRule type="expression" priority="3" dxfId="2">
      <formula>$C$21="RED"</formula>
    </cfRule>
  </conditionalFormatting>
  <conditionalFormatting sqref="C20">
    <cfRule type="cellIs" priority="4" operator="greaterThanOrEqual" dxfId="0">
      <formula>$C$19</formula>
    </cfRule>
    <cfRule type="expression" priority="5" dxfId="1">
      <formula>AND(C20&lt;$C$19,C20&gt;=$C$19-0.02)</formula>
    </cfRule>
    <cfRule type="cellIs" priority="6" operator="lessThan" dxfId="2">
      <formula>$C$19-0.02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60" customWidth="1" min="4" max="4"/>
  </cols>
  <sheetData>
    <row r="2">
      <c r="B2" s="1" t="inlineStr">
        <is>
          <t>Data Dictionary</t>
        </is>
      </c>
    </row>
    <row r="3">
      <c r="B3" s="7" t="inlineStr">
        <is>
          <t>Field definitions for the margin &amp; mix bridge workbook.</t>
        </is>
      </c>
    </row>
    <row r="5">
      <c r="B5" s="10" t="inlineStr">
        <is>
          <t>Field</t>
        </is>
      </c>
      <c r="C5" s="10" t="inlineStr">
        <is>
          <t>Unit / type</t>
        </is>
      </c>
      <c r="D5" s="10" t="inlineStr">
        <is>
          <t>Definition</t>
        </is>
      </c>
    </row>
    <row r="6">
      <c r="B6" s="6" t="inlineStr">
        <is>
          <t>Close period</t>
        </is>
      </c>
      <c r="C6" s="6" t="inlineStr">
        <is>
          <t>Text</t>
        </is>
      </c>
      <c r="D6" s="6" t="inlineStr">
        <is>
          <t>Prior vs current comparison label (e.g. FY26 Q2 vs Q1)</t>
        </is>
      </c>
    </row>
    <row r="7">
      <c r="B7" s="6" t="inlineStr">
        <is>
          <t>Channel</t>
        </is>
      </c>
      <c r="C7" s="6" t="inlineStr">
        <is>
          <t>Category</t>
        </is>
      </c>
      <c r="D7" s="6" t="inlineStr">
        <is>
          <t>Grocery, Mass, Club, E-comm — route-to-market</t>
        </is>
      </c>
    </row>
    <row r="8">
      <c r="B8" s="6" t="inlineStr">
        <is>
          <t>SKU</t>
        </is>
      </c>
      <c r="C8" s="6" t="inlineStr">
        <is>
          <t>Category</t>
        </is>
      </c>
      <c r="D8" s="6" t="inlineStr">
        <is>
          <t>Sellable consumer unit / pack (6 sample Northline items)</t>
        </is>
      </c>
    </row>
    <row r="9">
      <c r="B9" s="6" t="inlineStr">
        <is>
          <t>Volume</t>
        </is>
      </c>
      <c r="C9" s="6" t="inlineStr">
        <is>
          <t>000 units</t>
        </is>
      </c>
      <c r="D9" s="6" t="inlineStr">
        <is>
          <t>Cases/units sold in the period (thousands)</t>
        </is>
      </c>
    </row>
    <row r="10">
      <c r="B10" s="6" t="inlineStr">
        <is>
          <t>Net price</t>
        </is>
      </c>
      <c r="C10" s="6" t="inlineStr">
        <is>
          <t>$/unit</t>
        </is>
      </c>
      <c r="D10" s="6" t="inlineStr">
        <is>
          <t>Average realized net selling price after trade</t>
        </is>
      </c>
    </row>
    <row r="11">
      <c r="B11" s="6" t="inlineStr">
        <is>
          <t>Std COGS</t>
        </is>
      </c>
      <c r="C11" s="6" t="inlineStr">
        <is>
          <t>$/unit</t>
        </is>
      </c>
      <c r="D11" s="6" t="inlineStr">
        <is>
          <t>Standard cost per unit; held flat in this sample</t>
        </is>
      </c>
    </row>
    <row r="12">
      <c r="B12" s="6" t="inlineStr">
        <is>
          <t>Revenue</t>
        </is>
      </c>
      <c r="C12" s="6" t="inlineStr">
        <is>
          <t>$000s</t>
        </is>
      </c>
      <c r="D12" s="6" t="inlineStr">
        <is>
          <t>Volume (000) × net price $/unit</t>
        </is>
      </c>
    </row>
    <row r="13">
      <c r="B13" s="6" t="inlineStr">
        <is>
          <t>Gross margin $</t>
        </is>
      </c>
      <c r="C13" s="6" t="inlineStr">
        <is>
          <t>$000s</t>
        </is>
      </c>
      <c r="D13" s="6" t="inlineStr">
        <is>
          <t>Volume × (net price − std COGS)</t>
        </is>
      </c>
    </row>
    <row r="14">
      <c r="B14" s="6" t="inlineStr">
        <is>
          <t>GM %</t>
        </is>
      </c>
      <c r="C14" s="6" t="inlineStr">
        <is>
          <t>%</t>
        </is>
      </c>
      <c r="D14" s="6" t="inlineStr">
        <is>
          <t>Gross margin $ ÷ revenue</t>
        </is>
      </c>
    </row>
    <row r="15">
      <c r="B15" s="6" t="inlineStr">
        <is>
          <t>Contribution / CM</t>
        </is>
      </c>
      <c r="C15" s="6" t="inlineStr">
        <is>
          <t>$ or %</t>
        </is>
      </c>
      <c r="D15" s="6" t="inlineStr">
        <is>
          <t>Same as GM here (no below-gross selling cost allocated)</t>
        </is>
      </c>
    </row>
    <row r="16">
      <c r="B16" s="6" t="inlineStr">
        <is>
          <t>Volume effect</t>
        </is>
      </c>
      <c r="C16" s="6" t="inlineStr">
        <is>
          <t>$000s</t>
        </is>
      </c>
      <c r="D16" s="6" t="inlineStr">
        <is>
          <t>(V1−V0) × prior blended price or margin/unit</t>
        </is>
      </c>
    </row>
    <row r="17">
      <c r="B17" s="6" t="inlineStr">
        <is>
          <t>Price effect</t>
        </is>
      </c>
      <c r="C17" s="6" t="inlineStr">
        <is>
          <t>$000s</t>
        </is>
      </c>
      <c r="D17" s="6" t="inlineStr">
        <is>
          <t>Σ current volume × (P1−P0)</t>
        </is>
      </c>
    </row>
    <row r="18">
      <c r="B18" s="6" t="inlineStr">
        <is>
          <t>Mix effect</t>
        </is>
      </c>
      <c r="C18" s="6" t="inlineStr">
        <is>
          <t>$000s</t>
        </is>
      </c>
      <c r="D18" s="6" t="inlineStr">
        <is>
          <t>Residual from mix shift at prior prices/margins</t>
        </is>
      </c>
    </row>
    <row r="19">
      <c r="B19" s="6" t="inlineStr">
        <is>
          <t>Cost effect</t>
        </is>
      </c>
      <c r="C19" s="6" t="inlineStr">
        <is>
          <t>$000s</t>
        </is>
      </c>
      <c r="D19" s="6" t="inlineStr">
        <is>
          <t>Σ V1 × (C0−C1); ~0 when COGS/unit unchanged</t>
        </is>
      </c>
    </row>
    <row r="20">
      <c r="B20" s="6" t="inlineStr">
        <is>
          <t>Vol mix %</t>
        </is>
      </c>
      <c r="C20" s="6" t="inlineStr">
        <is>
          <t>%</t>
        </is>
      </c>
      <c r="D20" s="6" t="inlineStr">
        <is>
          <t>Channel or SKU share of total volume</t>
        </is>
      </c>
    </row>
    <row r="21">
      <c r="B21" s="6" t="inlineStr">
        <is>
          <t>RAG — GM %</t>
        </is>
      </c>
      <c r="C21" s="6" t="inlineStr">
        <is>
          <t>Status</t>
        </is>
      </c>
      <c r="D21" s="6" t="inlineStr">
        <is>
          <t>GREEN if ≥ target; AMBER within 2 pts; else RED</t>
        </is>
      </c>
    </row>
    <row r="22">
      <c r="B22" s="6" t="inlineStr">
        <is>
          <t>Yellow / blue cells</t>
        </is>
      </c>
      <c r="C22" s="6" t="inlineStr">
        <is>
          <t>Input</t>
        </is>
      </c>
      <c r="D22" s="6" t="inlineStr">
        <is>
          <t>Editable assumptions; do not overwrite black formulas</t>
        </is>
      </c>
    </row>
    <row r="25">
      <c r="B25" s="7" t="inlineStr">
        <is>
          <t>Fictional sample for portfolio use only. Not real company, employer, or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2026-09-11T18:47:41Z</dcterms:created>
  <dcterms:modified xsi:type="dcterms:W3CDTF">2026-09-11T18:47:41Z</dcterms:modified>
</cp:coreProperties>
</file>